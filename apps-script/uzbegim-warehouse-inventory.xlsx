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taff" sheetId="2" state="visible" r:id="rId4"/>
    <sheet name="Products" sheetId="3" state="visible" r:id="rId5"/>
    <sheet name="Customers" sheetId="4" state="visible" r:id="rId6"/>
    <sheet name="Suppliers" sheetId="5" state="visible" r:id="rId7"/>
    <sheet name="Movements" sheetId="6" state="visible" r:id="rId8"/>
    <sheet name="Stock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<sst xmlns="http://schemas.openxmlformats.org/spreadsheetml/2006/main" count="139" uniqueCount="95">
  <si>
    <t xml:space="preserve">Uzbegim Warehouse — Inventory Database (v1, inventory only)</t>
  </si>
  <si>
    <t xml:space="preserve">What this file is</t>
  </si>
  <si>
    <t xml:space="preserve">This spreadsheet is the database behind the Uzbegim warehouse inventory app. Upload it to</t>
  </si>
  <si>
    <t xml:space="preserve">Google Drive, let Google convert it to Google Sheets, then connect it to the Apps Script code</t>
  </si>
  <si>
    <t xml:space="preserve">in the project's apps-script/ folder (Code.gs, appsscript.json).</t>
  </si>
  <si>
    <t xml:space="preserve">Tabs in this file</t>
  </si>
  <si>
    <t xml:space="preserve">  Staff       Who can use the app, and whether each person is a Manager or a Worker.</t>
  </si>
  <si>
    <t xml:space="preserve">  Products    Every SKU (about 100 expected) — brand, flavor, size, category, reorder point.</t>
  </si>
  <si>
    <t xml:space="preserve">  Customers   Where stock goes: your own market plus the wholesale restaurant accounts.</t>
  </si>
  <si>
    <t xml:space="preserve">  Suppliers   Who stock is received from.</t>
  </si>
  <si>
    <t xml:space="preserve">  Movements   The ledger — every receiving, stock-out, transfer, and count adjustment.</t>
  </si>
  <si>
    <t xml:space="preserve">  Stock       Read-only. Current quantity on hand per product, calculated from Movements.</t>
  </si>
  <si>
    <t xml:space="preserve">How to fill it in</t>
  </si>
  <si>
    <t xml:space="preserve">  Blue text   = type your own data here.</t>
  </si>
  <si>
    <t xml:space="preserve">  Yellow row  = an example row showing the expected format — edit or delete it, don't leave it.</t>
  </si>
  <si>
    <t xml:space="preserve">  Black text  = a formula. Do not type over these cells or the sheet stops calculating.</t>
  </si>
  <si>
    <t xml:space="preserve">No pricing, on purpose</t>
  </si>
  <si>
    <t xml:space="preserve">This is the confirmed v1 scope: inventory only. There is deliberately no price, cost, or rate</t>
  </si>
  <si>
    <t xml:space="preserve">column anywhere in this file. A later version is expected to add per-customer pricing — when</t>
  </si>
  <si>
    <t xml:space="preserve">that happens, add it as a new Pricing tab keyed by Customer + Product, rather than adding price</t>
  </si>
  <si>
    <t xml:space="preserve">columns to Movements. That keeps this ledger untouched when pricing is reintroduced.</t>
  </si>
  <si>
    <t xml:space="preserve">Test accounts already entered on the Staff tab</t>
  </si>
  <si>
    <t xml:space="preserve">  abduraufkholikov@gmail.com   — Manager (for testing)</t>
  </si>
  <si>
    <t xml:space="preserve">  abduraufkholikov0@gmail.com  — Worker (for testing)</t>
  </si>
  <si>
    <t xml:space="preserve">Replace or add to these with real staff before real deployment (2-3 managers, 2-3 workers).</t>
  </si>
  <si>
    <t xml:space="preserve">Staff ID</t>
  </si>
  <si>
    <t xml:space="preserve">Name</t>
  </si>
  <si>
    <t xml:space="preserve">Email (Google Account)</t>
  </si>
  <si>
    <t xml:space="preserve">Role</t>
  </si>
  <si>
    <t xml:space="preserve">Active (Y/N)</t>
  </si>
  <si>
    <t xml:space="preserve">S01</t>
  </si>
  <si>
    <t xml:space="preserve">Abdu (Manager - test account)</t>
  </si>
  <si>
    <t xml:space="preserve">abduraufkholikov@gmail.com</t>
  </si>
  <si>
    <t xml:space="preserve">Manager</t>
  </si>
  <si>
    <t xml:space="preserve">Y</t>
  </si>
  <si>
    <t xml:space="preserve">S02</t>
  </si>
  <si>
    <t xml:space="preserve">Abdu (Worker - test account)</t>
  </si>
  <si>
    <t xml:space="preserve">abduraufkholikov0@gmail.com</t>
  </si>
  <si>
    <t xml:space="preserve">Worker</t>
  </si>
  <si>
    <t xml:space="preserve">Product ID</t>
  </si>
  <si>
    <t xml:space="preserve">Product Name</t>
  </si>
  <si>
    <t xml:space="preserve">Brand</t>
  </si>
  <si>
    <t xml:space="preserve">Flavor / Variant</t>
  </si>
  <si>
    <t xml:space="preserve">Size</t>
  </si>
  <si>
    <t xml:space="preserve">Category</t>
  </si>
  <si>
    <t xml:space="preserve">Unit</t>
  </si>
  <si>
    <t xml:space="preserve">Min Qty (reorder point)</t>
  </si>
  <si>
    <t xml:space="preserve">Notes</t>
  </si>
  <si>
    <t xml:space="preserve">P001</t>
  </si>
  <si>
    <t xml:space="preserve">Example — Cola 12oz Can</t>
  </si>
  <si>
    <t xml:space="preserve">Example Brand</t>
  </si>
  <si>
    <t xml:space="preserve">Original</t>
  </si>
  <si>
    <t xml:space="preserve">12oz</t>
  </si>
  <si>
    <t xml:space="preserve">Beverages</t>
  </si>
  <si>
    <t xml:space="preserve">Case (24)</t>
  </si>
  <si>
    <t xml:space="preserve">Sample row — edit or delete</t>
  </si>
  <si>
    <t xml:space="preserve">Customer ID</t>
  </si>
  <si>
    <t xml:space="preserve">Customer Name</t>
  </si>
  <si>
    <t xml:space="preserve">Type</t>
  </si>
  <si>
    <t xml:space="preserve">Contact Name</t>
  </si>
  <si>
    <t xml:space="preserve">Phone</t>
  </si>
  <si>
    <t xml:space="preserve">C01</t>
  </si>
  <si>
    <t xml:space="preserve">Uzbegim Market</t>
  </si>
  <si>
    <t xml:space="preserve">Own Market</t>
  </si>
  <si>
    <t xml:space="preserve">C02</t>
  </si>
  <si>
    <t xml:space="preserve">Cafe Bistro by Uzbegim</t>
  </si>
  <si>
    <t xml:space="preserve">C03</t>
  </si>
  <si>
    <t xml:space="preserve">Chaykhana N1</t>
  </si>
  <si>
    <t xml:space="preserve">Wholesale Restaurant</t>
  </si>
  <si>
    <t xml:space="preserve">C04</t>
  </si>
  <si>
    <t xml:space="preserve">Turkistan Restaurant</t>
  </si>
  <si>
    <t xml:space="preserve">C05</t>
  </si>
  <si>
    <t xml:space="preserve">Registan Restaurant</t>
  </si>
  <si>
    <t xml:space="preserve">C06</t>
  </si>
  <si>
    <t xml:space="preserve">Caravan</t>
  </si>
  <si>
    <t xml:space="preserve">C07</t>
  </si>
  <si>
    <t xml:space="preserve">Oasis</t>
  </si>
  <si>
    <t xml:space="preserve">Supplier ID</t>
  </si>
  <si>
    <t xml:space="preserve">Supplier Name</t>
  </si>
  <si>
    <t xml:space="preserve">SUP01</t>
  </si>
  <si>
    <t xml:space="preserve">Example — Costco Business Center</t>
  </si>
  <si>
    <t xml:space="preserve">Movement ID</t>
  </si>
  <si>
    <t xml:space="preserve">Date</t>
  </si>
  <si>
    <t xml:space="preserve">Quantity (enter positive)</t>
  </si>
  <si>
    <t xml:space="preserve">Signed Qty (calculated)</t>
  </si>
  <si>
    <t xml:space="preserve">Customer / Destination ID</t>
  </si>
  <si>
    <t xml:space="preserve">Staff Email</t>
  </si>
  <si>
    <t xml:space="preserve">2026-09-06</t>
  </si>
  <si>
    <t xml:space="preserve">Receiving</t>
  </si>
  <si>
    <t xml:space="preserve">Customer Stock-Out</t>
  </si>
  <si>
    <t xml:space="preserve">Internal Transfer</t>
  </si>
  <si>
    <t xml:space="preserve">Stock Count Adjustment</t>
  </si>
  <si>
    <t xml:space="preserve">Sample row — count found 1 short</t>
  </si>
  <si>
    <t xml:space="preserve">Current Qty on Hand</t>
  </si>
  <si>
    <t xml:space="preserve">Status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</si>
</sst>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7F6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2" t="s">
        <v>23</v>
      </c>
    </row>
    <row r="30" customFormat="false" ht="15" hidden="false" customHeight="false" outlineLevel="0" collapsed="false">
      <c r="A30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5" min="4" style="0" width="12"/>
  </cols>
  <sheetData>
    <row r="1" customFormat="false" ht="27.75" hidden="false" customHeight="true" outlineLevel="0" collapsed="false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</row>
    <row r="2" customFormat="false" ht="15" hidden="false" customHeight="false" outlineLevel="0" collapsed="false">
      <c r="A2" s="5" t="s">
        <v>30</v>
      </c>
      <c r="B2" s="5" t="s">
        <v>31</v>
      </c>
      <c r="C2" s="5" t="s">
        <v>32</v>
      </c>
      <c r="D2" s="5" t="s">
        <v>33</v>
      </c>
      <c r="E2" s="5" t="s">
        <v>34</v>
      </c>
    </row>
    <row r="3" customFormat="false" ht="15" hidden="false" customHeight="false" outlineLevel="0" collapsed="false">
      <c r="A3" s="5" t="s">
        <v>35</v>
      </c>
      <c r="B3" s="5" t="s">
        <v>36</v>
      </c>
      <c r="C3" s="5" t="s">
        <v>37</v>
      </c>
      <c r="D3" s="5" t="s">
        <v>38</v>
      </c>
      <c r="E3" s="5" t="s">
        <v>34</v>
      </c>
    </row>
    <row r="4" customFormat="false" ht="15" hidden="false" customHeight="false" outlineLevel="0" collapsed="false">
      <c r="A4" s="5"/>
      <c r="B4" s="5"/>
      <c r="C4" s="5"/>
      <c r="D4" s="5"/>
      <c r="E4" s="5"/>
    </row>
    <row r="5" customFormat="false" ht="15" hidden="false" customHeight="false" outlineLevel="0" collapsed="false">
      <c r="A5" s="5"/>
      <c r="B5" s="5"/>
      <c r="C5" s="5"/>
      <c r="D5" s="5"/>
      <c r="E5" s="5"/>
    </row>
    <row r="6" customFormat="false" ht="15" hidden="false" customHeight="false" outlineLevel="0" collapsed="false">
      <c r="A6" s="5"/>
      <c r="B6" s="5"/>
      <c r="C6" s="5"/>
      <c r="D6" s="5"/>
      <c r="E6" s="5"/>
    </row>
    <row r="7" customFormat="false" ht="15" hidden="false" customHeight="false" outlineLevel="0" collapsed="false">
      <c r="A7" s="5"/>
      <c r="B7" s="5"/>
      <c r="C7" s="5"/>
      <c r="D7" s="5"/>
      <c r="E7" s="5"/>
    </row>
    <row r="8" customFormat="false" ht="15" hidden="false" customHeight="false" outlineLevel="0" collapsed="false">
      <c r="A8" s="5"/>
      <c r="B8" s="5"/>
      <c r="C8" s="5"/>
      <c r="D8" s="5"/>
      <c r="E8" s="5"/>
    </row>
    <row r="9" customFormat="false" ht="15" hidden="false" customHeight="false" outlineLevel="0" collapsed="false">
      <c r="A9" s="5"/>
      <c r="B9" s="5"/>
      <c r="C9" s="5"/>
      <c r="D9" s="5"/>
      <c r="E9" s="5"/>
    </row>
    <row r="10" customFormat="false" ht="15" hidden="false" customHeight="false" outlineLevel="0" collapsed="false">
      <c r="A10" s="5"/>
      <c r="B10" s="5"/>
      <c r="C10" s="5"/>
      <c r="D10" s="5"/>
      <c r="E10" s="5"/>
    </row>
    <row r="11" customFormat="false" ht="15" hidden="false" customHeight="false" outlineLevel="0" collapsed="false">
      <c r="A11" s="5"/>
      <c r="B11" s="5"/>
      <c r="C11" s="5"/>
      <c r="D11" s="5"/>
      <c r="E11" s="5"/>
    </row>
  </sheetData>
  <dataValidations count="2">
    <dataValidation allowBlank="true" errorStyle="stop" operator="between" showDropDown="false" showErrorMessage="false" showInputMessage="false" sqref="D2:D11" type="list">
      <formula1>"Manager,Worker"</formula1>
      <formula2>0</formula2>
    </dataValidation>
    <dataValidation allowBlank="true" errorStyle="stop" operator="between" showDropDown="false" showErrorMessage="false" showInputMessage="false" sqref="E2:E1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4" min="3" style="0" width="16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24"/>
  </cols>
  <sheetData>
    <row r="1" customFormat="false" ht="27.75" hidden="false" customHeight="true" outlineLevel="0" collapsed="false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29</v>
      </c>
      <c r="J1" s="4" t="s">
        <v>47</v>
      </c>
    </row>
    <row r="2" customFormat="false" ht="15" hidden="false" customHeight="false" outlineLevel="0" collapsed="false">
      <c r="A2" s="6" t="s">
        <v>48</v>
      </c>
      <c r="B2" s="6" t="s">
        <v>49</v>
      </c>
      <c r="C2" s="6" t="s">
        <v>50</v>
      </c>
      <c r="D2" s="6" t="s">
        <v>51</v>
      </c>
      <c r="E2" s="6" t="s">
        <v>52</v>
      </c>
      <c r="F2" s="6" t="s">
        <v>53</v>
      </c>
      <c r="G2" s="6" t="s">
        <v>54</v>
      </c>
      <c r="H2" s="6" t="n">
        <v>10</v>
      </c>
      <c r="I2" s="6" t="s">
        <v>34</v>
      </c>
      <c r="J2" s="6" t="s">
        <v>55</v>
      </c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customFormat="false" ht="1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customFormat="false" ht="1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customFormat="false" ht="1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customFormat="false" ht="1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customFormat="false" ht="1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customFormat="false" ht="1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customFormat="false" ht="1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customFormat="false" ht="1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customFormat="false" ht="1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customFormat="false" ht="1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customFormat="false" ht="1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customFormat="false" ht="1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customFormat="false" ht="1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customFormat="false" ht="1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customFormat="false" ht="1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customFormat="false" ht="1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customFormat="false" ht="1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customFormat="false" ht="1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customFormat="false" ht="1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customFormat="false" ht="1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customFormat="false" ht="1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customFormat="false" ht="1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customFormat="false" ht="1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customFormat="false" ht="1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customFormat="false" ht="1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customFormat="false" ht="1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customFormat="false" ht="1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customFormat="false" ht="1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customFormat="false" ht="1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customFormat="false" ht="1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customFormat="false" ht="1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customFormat="false" ht="1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customFormat="false" ht="1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customFormat="false" ht="1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customFormat="false" ht="1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customFormat="false" ht="1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customFormat="false" ht="1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customFormat="false" ht="1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customFormat="false" ht="1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customFormat="false" ht="1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customFormat="false" ht="1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customFormat="false" ht="1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customFormat="false" ht="1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customFormat="false" ht="1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customFormat="false" ht="1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customFormat="false" ht="1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customFormat="false" ht="1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customFormat="false" ht="1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customFormat="false" ht="1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customFormat="false" ht="1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customFormat="false" ht="1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customFormat="false" ht="1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customFormat="false" ht="1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customFormat="false" ht="1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customFormat="false" ht="1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</row>
  </sheetData>
  <dataValidations count="1">
    <dataValidation allowBlank="true" errorStyle="stop" operator="between" showDropDown="false" showErrorMessage="false" showInputMessage="false" sqref="I2:I12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4" min="3" style="0" width="20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27.75" hidden="false" customHeight="true" outlineLevel="0" collapsed="false">
      <c r="A1" s="4" t="s">
        <v>56</v>
      </c>
      <c r="B1" s="4" t="s">
        <v>57</v>
      </c>
      <c r="C1" s="4" t="s">
        <v>58</v>
      </c>
      <c r="D1" s="4" t="s">
        <v>59</v>
      </c>
      <c r="E1" s="4" t="s">
        <v>60</v>
      </c>
      <c r="F1" s="4" t="s">
        <v>29</v>
      </c>
    </row>
    <row r="2" customFormat="false" ht="15" hidden="false" customHeight="false" outlineLevel="0" collapsed="false">
      <c r="A2" s="5" t="s">
        <v>61</v>
      </c>
      <c r="B2" s="5" t="s">
        <v>62</v>
      </c>
      <c r="C2" s="5" t="s">
        <v>63</v>
      </c>
      <c r="D2" s="5"/>
      <c r="E2" s="5"/>
      <c r="F2" s="5" t="s">
        <v>34</v>
      </c>
    </row>
    <row r="3" customFormat="false" ht="15" hidden="false" customHeight="false" outlineLevel="0" collapsed="false">
      <c r="A3" s="5" t="s">
        <v>64</v>
      </c>
      <c r="B3" s="5" t="s">
        <v>65</v>
      </c>
      <c r="C3" s="5" t="s">
        <v>63</v>
      </c>
      <c r="D3" s="5"/>
      <c r="E3" s="5"/>
      <c r="F3" s="5" t="s">
        <v>34</v>
      </c>
    </row>
    <row r="4" customFormat="false" ht="15" hidden="false" customHeight="false" outlineLevel="0" collapsed="false">
      <c r="A4" s="5" t="s">
        <v>66</v>
      </c>
      <c r="B4" s="5" t="s">
        <v>67</v>
      </c>
      <c r="C4" s="5" t="s">
        <v>68</v>
      </c>
      <c r="D4" s="5"/>
      <c r="E4" s="5"/>
      <c r="F4" s="5" t="s">
        <v>34</v>
      </c>
    </row>
    <row r="5" customFormat="false" ht="15" hidden="false" customHeight="false" outlineLevel="0" collapsed="false">
      <c r="A5" s="5" t="s">
        <v>69</v>
      </c>
      <c r="B5" s="5" t="s">
        <v>70</v>
      </c>
      <c r="C5" s="5" t="s">
        <v>68</v>
      </c>
      <c r="D5" s="5"/>
      <c r="E5" s="5"/>
      <c r="F5" s="5" t="s">
        <v>34</v>
      </c>
    </row>
    <row r="6" customFormat="false" ht="15" hidden="false" customHeight="false" outlineLevel="0" collapsed="false">
      <c r="A6" s="5" t="s">
        <v>71</v>
      </c>
      <c r="B6" s="5" t="s">
        <v>72</v>
      </c>
      <c r="C6" s="5" t="s">
        <v>68</v>
      </c>
      <c r="D6" s="5"/>
      <c r="E6" s="5"/>
      <c r="F6" s="5" t="s">
        <v>34</v>
      </c>
    </row>
    <row r="7" customFormat="false" ht="15" hidden="false" customHeight="false" outlineLevel="0" collapsed="false">
      <c r="A7" s="5" t="s">
        <v>73</v>
      </c>
      <c r="B7" s="5" t="s">
        <v>74</v>
      </c>
      <c r="C7" s="5" t="s">
        <v>68</v>
      </c>
      <c r="D7" s="5"/>
      <c r="E7" s="5"/>
      <c r="F7" s="5" t="s">
        <v>34</v>
      </c>
    </row>
    <row r="8" customFormat="false" ht="15" hidden="false" customHeight="false" outlineLevel="0" collapsed="false">
      <c r="A8" s="5" t="s">
        <v>75</v>
      </c>
      <c r="B8" s="5" t="s">
        <v>76</v>
      </c>
      <c r="C8" s="5" t="s">
        <v>68</v>
      </c>
      <c r="D8" s="5"/>
      <c r="E8" s="5"/>
      <c r="F8" s="5" t="s">
        <v>34</v>
      </c>
    </row>
    <row r="9" customFormat="false" ht="15" hidden="false" customHeight="false" outlineLevel="0" collapsed="false">
      <c r="A9" s="5"/>
      <c r="B9" s="5"/>
      <c r="C9" s="5"/>
      <c r="D9" s="5"/>
      <c r="E9" s="5"/>
      <c r="F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</row>
  </sheetData>
  <dataValidations count="2">
    <dataValidation allowBlank="true" errorStyle="stop" operator="between" showDropDown="false" showErrorMessage="false" showInputMessage="false" sqref="C2:C16" type="list">
      <formula1>"Own Market,Wholesale Restaurant"</formula1>
      <formula2>0</formula2>
    </dataValidation>
    <dataValidation allowBlank="true" errorStyle="stop" operator="between" showDropDown="false" showErrorMessage="false" showInputMessage="false" sqref="F2:F16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27.75" hidden="false" customHeight="true" outlineLevel="0" collapsed="false">
      <c r="A1" s="4" t="s">
        <v>77</v>
      </c>
      <c r="B1" s="4" t="s">
        <v>78</v>
      </c>
      <c r="C1" s="4" t="s">
        <v>59</v>
      </c>
      <c r="D1" s="4" t="s">
        <v>60</v>
      </c>
      <c r="E1" s="4" t="s">
        <v>29</v>
      </c>
    </row>
    <row r="2" customFormat="false" ht="15" hidden="false" customHeight="false" outlineLevel="0" collapsed="false">
      <c r="A2" s="6" t="s">
        <v>79</v>
      </c>
      <c r="B2" s="6" t="s">
        <v>80</v>
      </c>
      <c r="C2" s="6"/>
      <c r="D2" s="6"/>
      <c r="E2" s="6" t="s">
        <v>34</v>
      </c>
    </row>
    <row r="3" customFormat="false" ht="15" hidden="false" customHeight="false" outlineLevel="0" collapsed="false">
      <c r="A3" s="5"/>
      <c r="B3" s="5"/>
      <c r="C3" s="5"/>
      <c r="D3" s="5"/>
      <c r="E3" s="5"/>
    </row>
    <row r="4" customFormat="false" ht="15" hidden="false" customHeight="false" outlineLevel="0" collapsed="false">
      <c r="A4" s="5"/>
      <c r="B4" s="5"/>
      <c r="C4" s="5"/>
      <c r="D4" s="5"/>
      <c r="E4" s="5"/>
    </row>
    <row r="5" customFormat="false" ht="15" hidden="false" customHeight="false" outlineLevel="0" collapsed="false">
      <c r="A5" s="5"/>
      <c r="B5" s="5"/>
      <c r="C5" s="5"/>
      <c r="D5" s="5"/>
      <c r="E5" s="5"/>
    </row>
    <row r="6" customFormat="false" ht="15" hidden="false" customHeight="false" outlineLevel="0" collapsed="false">
      <c r="A6" s="5"/>
      <c r="B6" s="5"/>
      <c r="C6" s="5"/>
      <c r="D6" s="5"/>
      <c r="E6" s="5"/>
    </row>
    <row r="7" customFormat="false" ht="15" hidden="false" customHeight="false" outlineLevel="0" collapsed="false">
      <c r="A7" s="5"/>
      <c r="B7" s="5"/>
      <c r="C7" s="5"/>
      <c r="D7" s="5"/>
      <c r="E7" s="5"/>
    </row>
    <row r="8" customFormat="false" ht="15" hidden="false" customHeight="false" outlineLevel="0" collapsed="false">
      <c r="A8" s="5"/>
      <c r="B8" s="5"/>
      <c r="C8" s="5"/>
      <c r="D8" s="5"/>
      <c r="E8" s="5"/>
    </row>
    <row r="9" customFormat="false" ht="15" hidden="false" customHeight="false" outlineLevel="0" collapsed="false">
      <c r="A9" s="5"/>
      <c r="B9" s="5"/>
      <c r="C9" s="5"/>
      <c r="D9" s="5"/>
      <c r="E9" s="5"/>
    </row>
    <row r="10" customFormat="false" ht="15" hidden="false" customHeight="false" outlineLevel="0" collapsed="false">
      <c r="A10" s="5"/>
      <c r="B10" s="5"/>
      <c r="C10" s="5"/>
      <c r="D10" s="5"/>
      <c r="E10" s="5"/>
    </row>
    <row r="11" customFormat="false" ht="15" hidden="false" customHeight="false" outlineLevel="0" collapsed="false">
      <c r="A11" s="5"/>
      <c r="B11" s="5"/>
      <c r="C11" s="5"/>
      <c r="D11" s="5"/>
      <c r="E11" s="5"/>
    </row>
    <row r="12" customFormat="false" ht="15" hidden="false" customHeight="false" outlineLevel="0" collapsed="false">
      <c r="A12" s="5"/>
      <c r="B12" s="5"/>
      <c r="C12" s="5"/>
      <c r="D12" s="5"/>
      <c r="E12" s="5"/>
    </row>
    <row r="13" customFormat="false" ht="15" hidden="false" customHeight="false" outlineLevel="0" collapsed="false">
      <c r="A13" s="5"/>
      <c r="B13" s="5"/>
      <c r="C13" s="5"/>
      <c r="D13" s="5"/>
      <c r="E13" s="5"/>
    </row>
    <row r="14" customFormat="false" ht="15" hidden="false" customHeight="false" outlineLevel="0" collapsed="false">
      <c r="A14" s="5"/>
      <c r="B14" s="5"/>
      <c r="C14" s="5"/>
      <c r="D14" s="5"/>
      <c r="E14" s="5"/>
    </row>
    <row r="15" customFormat="false" ht="15" hidden="false" customHeight="false" outlineLevel="0" collapsed="false">
      <c r="A15" s="5"/>
      <c r="B15" s="5"/>
      <c r="C15" s="5"/>
      <c r="D15" s="5"/>
      <c r="E15" s="5"/>
    </row>
    <row r="16" customFormat="false" ht="15" hidden="false" customHeight="false" outlineLevel="0" collapsed="false">
      <c r="A16" s="5"/>
      <c r="B16" s="5"/>
      <c r="C16" s="5"/>
      <c r="D16" s="5"/>
      <c r="E16" s="5"/>
    </row>
  </sheetData>
  <dataValidations count="1">
    <dataValidation allowBlank="true" errorStyle="stop" operator="between" showDropDown="false" showErrorMessage="false" showInputMessage="false" sqref="E2:E16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2"/>
    <col collapsed="false" customWidth="true" hidden="false" outlineLevel="0" max="9" min="9" style="0" width="28"/>
    <col collapsed="false" customWidth="true" hidden="false" outlineLevel="0" max="10" min="10" style="0" width="24"/>
  </cols>
  <sheetData>
    <row r="1" customFormat="false" ht="27.75" hidden="false" customHeight="true" outlineLevel="0" collapsed="false">
      <c r="A1" s="4" t="s">
        <v>81</v>
      </c>
      <c r="B1" s="4" t="s">
        <v>82</v>
      </c>
      <c r="C1" s="4" t="s">
        <v>58</v>
      </c>
      <c r="D1" s="4" t="s">
        <v>83</v>
      </c>
      <c r="E1" s="4" t="s">
        <v>84</v>
      </c>
      <c r="F1" s="4" t="s">
        <v>39</v>
      </c>
      <c r="G1" s="4" t="s">
        <v>85</v>
      </c>
      <c r="H1" s="4" t="s">
        <v>77</v>
      </c>
      <c r="I1" s="4" t="s">
        <v>86</v>
      </c>
      <c r="J1" s="4" t="s">
        <v>47</v>
      </c>
    </row>
    <row r="2" customFormat="false" ht="15" hidden="false" customHeight="false" outlineLevel="0" collapsed="false">
      <c r="A2" s="7" t="str">
        <f aca="false">IF($C2="","","M"&amp;TEXT(ROW()-1,"0000"))</f>
        <v>M0001</v>
      </c>
      <c r="B2" s="6" t="s">
        <v>87</v>
      </c>
      <c r="C2" s="6" t="s">
        <v>88</v>
      </c>
      <c r="D2" s="6" t="n">
        <v>40</v>
      </c>
      <c r="E2" s="7" t="n">
        <f aca="false">IF($C2="","",IF(OR($C2="Receiving",$C2="Stock Count Adjustment"),$D2,-$D2))</f>
        <v>40</v>
      </c>
      <c r="F2" s="6" t="s">
        <v>48</v>
      </c>
      <c r="G2" s="6"/>
      <c r="H2" s="6" t="s">
        <v>79</v>
      </c>
      <c r="I2" s="6" t="s">
        <v>37</v>
      </c>
      <c r="J2" s="6" t="s">
        <v>55</v>
      </c>
    </row>
    <row r="3" customFormat="false" ht="15" hidden="false" customHeight="false" outlineLevel="0" collapsed="false">
      <c r="A3" s="7" t="str">
        <f aca="false">IF($C3="","","M"&amp;TEXT(ROW()-1,"0000"))</f>
        <v>M0002</v>
      </c>
      <c r="B3" s="6" t="s">
        <v>87</v>
      </c>
      <c r="C3" s="6" t="s">
        <v>89</v>
      </c>
      <c r="D3" s="6" t="n">
        <v>6</v>
      </c>
      <c r="E3" s="7" t="n">
        <f aca="false">IF($C3="","",IF(OR($C3="Receiving",$C3="Stock Count Adjustment"),$D3,-$D3))</f>
        <v>-6</v>
      </c>
      <c r="F3" s="6" t="s">
        <v>48</v>
      </c>
      <c r="G3" s="6" t="s">
        <v>66</v>
      </c>
      <c r="H3" s="6"/>
      <c r="I3" s="6" t="s">
        <v>37</v>
      </c>
      <c r="J3" s="6" t="s">
        <v>55</v>
      </c>
    </row>
    <row r="4" customFormat="false" ht="15" hidden="false" customHeight="false" outlineLevel="0" collapsed="false">
      <c r="A4" s="7" t="str">
        <f aca="false">IF($C4="","","M"&amp;TEXT(ROW()-1,"0000"))</f>
        <v>M0003</v>
      </c>
      <c r="B4" s="6" t="s">
        <v>87</v>
      </c>
      <c r="C4" s="6" t="s">
        <v>90</v>
      </c>
      <c r="D4" s="6" t="n">
        <v>10</v>
      </c>
      <c r="E4" s="7" t="n">
        <f aca="false">IF($C4="","",IF(OR($C4="Receiving",$C4="Stock Count Adjustment"),$D4,-$D4))</f>
        <v>-10</v>
      </c>
      <c r="F4" s="6" t="s">
        <v>48</v>
      </c>
      <c r="G4" s="6" t="s">
        <v>61</v>
      </c>
      <c r="H4" s="6"/>
      <c r="I4" s="6" t="s">
        <v>37</v>
      </c>
      <c r="J4" s="6" t="s">
        <v>55</v>
      </c>
    </row>
    <row r="5" customFormat="false" ht="15" hidden="false" customHeight="false" outlineLevel="0" collapsed="false">
      <c r="A5" s="7" t="str">
        <f aca="false">IF($C5="","","M"&amp;TEXT(ROW()-1,"0000"))</f>
        <v>M0004</v>
      </c>
      <c r="B5" s="6" t="s">
        <v>87</v>
      </c>
      <c r="C5" s="6" t="s">
        <v>91</v>
      </c>
      <c r="D5" s="6" t="n">
        <v>-1</v>
      </c>
      <c r="E5" s="7" t="n">
        <f aca="false">IF($C5="","",IF(OR($C5="Receiving",$C5="Stock Count Adjustment"),$D5,-$D5))</f>
        <v>-1</v>
      </c>
      <c r="F5" s="6" t="s">
        <v>48</v>
      </c>
      <c r="G5" s="6"/>
      <c r="H5" s="6"/>
      <c r="I5" s="6" t="s">
        <v>32</v>
      </c>
      <c r="J5" s="6" t="s">
        <v>92</v>
      </c>
    </row>
    <row r="6" customFormat="false" ht="15" hidden="false" customHeight="false" outlineLevel="0" collapsed="false">
      <c r="A6" s="7" t="str">
        <f aca="false">IF($C6="","","M"&amp;TEXT(ROW()-1,"0000"))</f>
        <v/>
      </c>
      <c r="B6" s="5"/>
      <c r="C6" s="5"/>
      <c r="D6" s="5"/>
      <c r="E6" s="7" t="str">
        <f aca="false">IF($C6="","",IF(OR($C6="Receiving",$C6="Stock Count Adjustment"),$D6,-$D6))</f>
        <v/>
      </c>
      <c r="F6" s="5"/>
      <c r="G6" s="5"/>
      <c r="H6" s="5"/>
      <c r="I6" s="5"/>
      <c r="J6" s="5"/>
    </row>
    <row r="7" customFormat="false" ht="15" hidden="false" customHeight="false" outlineLevel="0" collapsed="false">
      <c r="A7" s="7" t="str">
        <f aca="false">IF($C7="","","M"&amp;TEXT(ROW()-1,"0000"))</f>
        <v/>
      </c>
      <c r="B7" s="5"/>
      <c r="C7" s="5"/>
      <c r="D7" s="5"/>
      <c r="E7" s="7" t="str">
        <f aca="false">IF($C7="","",IF(OR($C7="Receiving",$C7="Stock Count Adjustment"),$D7,-$D7))</f>
        <v/>
      </c>
      <c r="F7" s="5"/>
      <c r="G7" s="5"/>
      <c r="H7" s="5"/>
      <c r="I7" s="5"/>
      <c r="J7" s="5"/>
    </row>
    <row r="8" customFormat="false" ht="15" hidden="false" customHeight="false" outlineLevel="0" collapsed="false">
      <c r="A8" s="7" t="str">
        <f aca="false">IF($C8="","","M"&amp;TEXT(ROW()-1,"0000"))</f>
        <v/>
      </c>
      <c r="B8" s="5"/>
      <c r="C8" s="5"/>
      <c r="D8" s="5"/>
      <c r="E8" s="7" t="str">
        <f aca="false">IF($C8="","",IF(OR($C8="Receiving",$C8="Stock Count Adjustment"),$D8,-$D8))</f>
        <v/>
      </c>
      <c r="F8" s="5"/>
      <c r="G8" s="5"/>
      <c r="H8" s="5"/>
      <c r="I8" s="5"/>
      <c r="J8" s="5"/>
    </row>
    <row r="9" customFormat="false" ht="15" hidden="false" customHeight="false" outlineLevel="0" collapsed="false">
      <c r="A9" s="7" t="str">
        <f aca="false">IF($C9="","","M"&amp;TEXT(ROW()-1,"0000"))</f>
        <v/>
      </c>
      <c r="B9" s="5"/>
      <c r="C9" s="5"/>
      <c r="D9" s="5"/>
      <c r="E9" s="7" t="str">
        <f aca="false">IF($C9="","",IF(OR($C9="Receiving",$C9="Stock Count Adjustment"),$D9,-$D9))</f>
        <v/>
      </c>
      <c r="F9" s="5"/>
      <c r="G9" s="5"/>
      <c r="H9" s="5"/>
      <c r="I9" s="5"/>
      <c r="J9" s="5"/>
    </row>
    <row r="10" customFormat="false" ht="15" hidden="false" customHeight="false" outlineLevel="0" collapsed="false">
      <c r="A10" s="7" t="str">
        <f aca="false">IF($C10="","","M"&amp;TEXT(ROW()-1,"0000"))</f>
        <v/>
      </c>
      <c r="B10" s="5"/>
      <c r="C10" s="5"/>
      <c r="D10" s="5"/>
      <c r="E10" s="7" t="str">
        <f aca="false">IF($C10="","",IF(OR($C10="Receiving",$C10="Stock Count Adjustment"),$D10,-$D10))</f>
        <v/>
      </c>
      <c r="F10" s="5"/>
      <c r="G10" s="5"/>
      <c r="H10" s="5"/>
      <c r="I10" s="5"/>
      <c r="J10" s="5"/>
    </row>
    <row r="11" customFormat="false" ht="15" hidden="false" customHeight="false" outlineLevel="0" collapsed="false">
      <c r="A11" s="7" t="str">
        <f aca="false">IF($C11="","","M"&amp;TEXT(ROW()-1,"0000"))</f>
        <v/>
      </c>
      <c r="B11" s="5"/>
      <c r="C11" s="5"/>
      <c r="D11" s="5"/>
      <c r="E11" s="7" t="str">
        <f aca="false">IF($C11="","",IF(OR($C11="Receiving",$C11="Stock Count Adjustment"),$D11,-$D11))</f>
        <v/>
      </c>
      <c r="F11" s="5"/>
      <c r="G11" s="5"/>
      <c r="H11" s="5"/>
      <c r="I11" s="5"/>
      <c r="J11" s="5"/>
    </row>
    <row r="12" customFormat="false" ht="15" hidden="false" customHeight="false" outlineLevel="0" collapsed="false">
      <c r="A12" s="7" t="str">
        <f aca="false">IF($C12="","","M"&amp;TEXT(ROW()-1,"0000"))</f>
        <v/>
      </c>
      <c r="B12" s="5"/>
      <c r="C12" s="5"/>
      <c r="D12" s="5"/>
      <c r="E12" s="7" t="str">
        <f aca="false">IF($C12="","",IF(OR($C12="Receiving",$C12="Stock Count Adjustment"),$D12,-$D12))</f>
        <v/>
      </c>
      <c r="F12" s="5"/>
      <c r="G12" s="5"/>
      <c r="H12" s="5"/>
      <c r="I12" s="5"/>
      <c r="J12" s="5"/>
    </row>
    <row r="13" customFormat="false" ht="15" hidden="false" customHeight="false" outlineLevel="0" collapsed="false">
      <c r="A13" s="7" t="str">
        <f aca="false">IF($C13="","","M"&amp;TEXT(ROW()-1,"0000"))</f>
        <v/>
      </c>
      <c r="B13" s="5"/>
      <c r="C13" s="5"/>
      <c r="D13" s="5"/>
      <c r="E13" s="7" t="str">
        <f aca="false">IF($C13="","",IF(OR($C13="Receiving",$C13="Stock Count Adjustment"),$D13,-$D13))</f>
        <v/>
      </c>
      <c r="F13" s="5"/>
      <c r="G13" s="5"/>
      <c r="H13" s="5"/>
      <c r="I13" s="5"/>
      <c r="J13" s="5"/>
    </row>
    <row r="14" customFormat="false" ht="15" hidden="false" customHeight="false" outlineLevel="0" collapsed="false">
      <c r="A14" s="7" t="str">
        <f aca="false">IF($C14="","","M"&amp;TEXT(ROW()-1,"0000"))</f>
        <v/>
      </c>
      <c r="B14" s="5"/>
      <c r="C14" s="5"/>
      <c r="D14" s="5"/>
      <c r="E14" s="7" t="str">
        <f aca="false">IF($C14="","",IF(OR($C14="Receiving",$C14="Stock Count Adjustment"),$D14,-$D14))</f>
        <v/>
      </c>
      <c r="F14" s="5"/>
      <c r="G14" s="5"/>
      <c r="H14" s="5"/>
      <c r="I14" s="5"/>
      <c r="J14" s="5"/>
    </row>
    <row r="15" customFormat="false" ht="15" hidden="false" customHeight="false" outlineLevel="0" collapsed="false">
      <c r="A15" s="7" t="str">
        <f aca="false">IF($C15="","","M"&amp;TEXT(ROW()-1,"0000"))</f>
        <v/>
      </c>
      <c r="B15" s="5"/>
      <c r="C15" s="5"/>
      <c r="D15" s="5"/>
      <c r="E15" s="7" t="str">
        <f aca="false">IF($C15="","",IF(OR($C15="Receiving",$C15="Stock Count Adjustment"),$D15,-$D15))</f>
        <v/>
      </c>
      <c r="F15" s="5"/>
      <c r="G15" s="5"/>
      <c r="H15" s="5"/>
      <c r="I15" s="5"/>
      <c r="J15" s="5"/>
    </row>
    <row r="16" customFormat="false" ht="15" hidden="false" customHeight="false" outlineLevel="0" collapsed="false">
      <c r="A16" s="7" t="str">
        <f aca="false">IF($C16="","","M"&amp;TEXT(ROW()-1,"0000"))</f>
        <v/>
      </c>
      <c r="B16" s="5"/>
      <c r="C16" s="5"/>
      <c r="D16" s="5"/>
      <c r="E16" s="7" t="str">
        <f aca="false">IF($C16="","",IF(OR($C16="Receiving",$C16="Stock Count Adjustment"),$D16,-$D16))</f>
        <v/>
      </c>
      <c r="F16" s="5"/>
      <c r="G16" s="5"/>
      <c r="H16" s="5"/>
      <c r="I16" s="5"/>
      <c r="J16" s="5"/>
    </row>
    <row r="17" customFormat="false" ht="15" hidden="false" customHeight="false" outlineLevel="0" collapsed="false">
      <c r="A17" s="7" t="str">
        <f aca="false">IF($C17="","","M"&amp;TEXT(ROW()-1,"0000"))</f>
        <v/>
      </c>
      <c r="B17" s="5"/>
      <c r="C17" s="5"/>
      <c r="D17" s="5"/>
      <c r="E17" s="7" t="str">
        <f aca="false">IF($C17="","",IF(OR($C17="Receiving",$C17="Stock Count Adjustment"),$D17,-$D17))</f>
        <v/>
      </c>
      <c r="F17" s="5"/>
      <c r="G17" s="5"/>
      <c r="H17" s="5"/>
      <c r="I17" s="5"/>
      <c r="J17" s="5"/>
    </row>
    <row r="18" customFormat="false" ht="15" hidden="false" customHeight="false" outlineLevel="0" collapsed="false">
      <c r="A18" s="7" t="str">
        <f aca="false">IF($C18="","","M"&amp;TEXT(ROW()-1,"0000"))</f>
        <v/>
      </c>
      <c r="B18" s="5"/>
      <c r="C18" s="5"/>
      <c r="D18" s="5"/>
      <c r="E18" s="7" t="str">
        <f aca="false">IF($C18="","",IF(OR($C18="Receiving",$C18="Stock Count Adjustment"),$D18,-$D18))</f>
        <v/>
      </c>
      <c r="F18" s="5"/>
      <c r="G18" s="5"/>
      <c r="H18" s="5"/>
      <c r="I18" s="5"/>
      <c r="J18" s="5"/>
    </row>
    <row r="19" customFormat="false" ht="15" hidden="false" customHeight="false" outlineLevel="0" collapsed="false">
      <c r="A19" s="7" t="str">
        <f aca="false">IF($C19="","","M"&amp;TEXT(ROW()-1,"0000"))</f>
        <v/>
      </c>
      <c r="B19" s="5"/>
      <c r="C19" s="5"/>
      <c r="D19" s="5"/>
      <c r="E19" s="7" t="str">
        <f aca="false">IF($C19="","",IF(OR($C19="Receiving",$C19="Stock Count Adjustment"),$D19,-$D19))</f>
        <v/>
      </c>
      <c r="F19" s="5"/>
      <c r="G19" s="5"/>
      <c r="H19" s="5"/>
      <c r="I19" s="5"/>
      <c r="J19" s="5"/>
    </row>
    <row r="20" customFormat="false" ht="15" hidden="false" customHeight="false" outlineLevel="0" collapsed="false">
      <c r="A20" s="7" t="str">
        <f aca="false">IF($C20="","","M"&amp;TEXT(ROW()-1,"0000"))</f>
        <v/>
      </c>
      <c r="B20" s="5"/>
      <c r="C20" s="5"/>
      <c r="D20" s="5"/>
      <c r="E20" s="7" t="str">
        <f aca="false">IF($C20="","",IF(OR($C20="Receiving",$C20="Stock Count Adjustment"),$D20,-$D20))</f>
        <v/>
      </c>
      <c r="F20" s="5"/>
      <c r="G20" s="5"/>
      <c r="H20" s="5"/>
      <c r="I20" s="5"/>
      <c r="J20" s="5"/>
    </row>
    <row r="21" customFormat="false" ht="15" hidden="false" customHeight="false" outlineLevel="0" collapsed="false">
      <c r="A21" s="7" t="str">
        <f aca="false">IF($C21="","","M"&amp;TEXT(ROW()-1,"0000"))</f>
        <v/>
      </c>
      <c r="B21" s="5"/>
      <c r="C21" s="5"/>
      <c r="D21" s="5"/>
      <c r="E21" s="7" t="str">
        <f aca="false">IF($C21="","",IF(OR($C21="Receiving",$C21="Stock Count Adjustment"),$D21,-$D21))</f>
        <v/>
      </c>
      <c r="F21" s="5"/>
      <c r="G21" s="5"/>
      <c r="H21" s="5"/>
      <c r="I21" s="5"/>
      <c r="J21" s="5"/>
    </row>
    <row r="22" customFormat="false" ht="15" hidden="false" customHeight="false" outlineLevel="0" collapsed="false">
      <c r="A22" s="7" t="str">
        <f aca="false">IF($C22="","","M"&amp;TEXT(ROW()-1,"0000"))</f>
        <v/>
      </c>
      <c r="B22" s="5"/>
      <c r="C22" s="5"/>
      <c r="D22" s="5"/>
      <c r="E22" s="7" t="str">
        <f aca="false">IF($C22="","",IF(OR($C22="Receiving",$C22="Stock Count Adjustment"),$D22,-$D22))</f>
        <v/>
      </c>
      <c r="F22" s="5"/>
      <c r="G22" s="5"/>
      <c r="H22" s="5"/>
      <c r="I22" s="5"/>
      <c r="J22" s="5"/>
    </row>
    <row r="23" customFormat="false" ht="15" hidden="false" customHeight="false" outlineLevel="0" collapsed="false">
      <c r="A23" s="7" t="str">
        <f aca="false">IF($C23="","","M"&amp;TEXT(ROW()-1,"0000"))</f>
        <v/>
      </c>
      <c r="B23" s="5"/>
      <c r="C23" s="5"/>
      <c r="D23" s="5"/>
      <c r="E23" s="7" t="str">
        <f aca="false">IF($C23="","",IF(OR($C23="Receiving",$C23="Stock Count Adjustment"),$D23,-$D23))</f>
        <v/>
      </c>
      <c r="F23" s="5"/>
      <c r="G23" s="5"/>
      <c r="H23" s="5"/>
      <c r="I23" s="5"/>
      <c r="J23" s="5"/>
    </row>
    <row r="24" customFormat="false" ht="15" hidden="false" customHeight="false" outlineLevel="0" collapsed="false">
      <c r="A24" s="7" t="str">
        <f aca="false">IF($C24="","","M"&amp;TEXT(ROW()-1,"0000"))</f>
        <v/>
      </c>
      <c r="B24" s="5"/>
      <c r="C24" s="5"/>
      <c r="D24" s="5"/>
      <c r="E24" s="7" t="str">
        <f aca="false">IF($C24="","",IF(OR($C24="Receiving",$C24="Stock Count Adjustment"),$D24,-$D24))</f>
        <v/>
      </c>
      <c r="F24" s="5"/>
      <c r="G24" s="5"/>
      <c r="H24" s="5"/>
      <c r="I24" s="5"/>
      <c r="J24" s="5"/>
    </row>
    <row r="25" customFormat="false" ht="15" hidden="false" customHeight="false" outlineLevel="0" collapsed="false">
      <c r="A25" s="7" t="str">
        <f aca="false">IF($C25="","","M"&amp;TEXT(ROW()-1,"0000"))</f>
        <v/>
      </c>
      <c r="B25" s="5"/>
      <c r="C25" s="5"/>
      <c r="D25" s="5"/>
      <c r="E25" s="7" t="str">
        <f aca="false">IF($C25="","",IF(OR($C25="Receiving",$C25="Stock Count Adjustment"),$D25,-$D25))</f>
        <v/>
      </c>
      <c r="F25" s="5"/>
      <c r="G25" s="5"/>
      <c r="H25" s="5"/>
      <c r="I25" s="5"/>
      <c r="J25" s="5"/>
    </row>
    <row r="26" customFormat="false" ht="15" hidden="false" customHeight="false" outlineLevel="0" collapsed="false">
      <c r="A26" s="7" t="str">
        <f aca="false">IF($C26="","","M"&amp;TEXT(ROW()-1,"0000"))</f>
        <v/>
      </c>
      <c r="B26" s="5"/>
      <c r="C26" s="5"/>
      <c r="D26" s="5"/>
      <c r="E26" s="7" t="str">
        <f aca="false">IF($C26="","",IF(OR($C26="Receiving",$C26="Stock Count Adjustment"),$D26,-$D26))</f>
        <v/>
      </c>
      <c r="F26" s="5"/>
      <c r="G26" s="5"/>
      <c r="H26" s="5"/>
      <c r="I26" s="5"/>
      <c r="J26" s="5"/>
    </row>
    <row r="27" customFormat="false" ht="15" hidden="false" customHeight="false" outlineLevel="0" collapsed="false">
      <c r="A27" s="7" t="str">
        <f aca="false">IF($C27="","","M"&amp;TEXT(ROW()-1,"0000"))</f>
        <v/>
      </c>
      <c r="B27" s="5"/>
      <c r="C27" s="5"/>
      <c r="D27" s="5"/>
      <c r="E27" s="7" t="str">
        <f aca="false">IF($C27="","",IF(OR($C27="Receiving",$C27="Stock Count Adjustment"),$D27,-$D27))</f>
        <v/>
      </c>
      <c r="F27" s="5"/>
      <c r="G27" s="5"/>
      <c r="H27" s="5"/>
      <c r="I27" s="5"/>
      <c r="J27" s="5"/>
    </row>
    <row r="28" customFormat="false" ht="15" hidden="false" customHeight="false" outlineLevel="0" collapsed="false">
      <c r="A28" s="7" t="str">
        <f aca="false">IF($C28="","","M"&amp;TEXT(ROW()-1,"0000"))</f>
        <v/>
      </c>
      <c r="B28" s="5"/>
      <c r="C28" s="5"/>
      <c r="D28" s="5"/>
      <c r="E28" s="7" t="str">
        <f aca="false">IF($C28="","",IF(OR($C28="Receiving",$C28="Stock Count Adjustment"),$D28,-$D28))</f>
        <v/>
      </c>
      <c r="F28" s="5"/>
      <c r="G28" s="5"/>
      <c r="H28" s="5"/>
      <c r="I28" s="5"/>
      <c r="J28" s="5"/>
    </row>
    <row r="29" customFormat="false" ht="15" hidden="false" customHeight="false" outlineLevel="0" collapsed="false">
      <c r="A29" s="7" t="str">
        <f aca="false">IF($C29="","","M"&amp;TEXT(ROW()-1,"0000"))</f>
        <v/>
      </c>
      <c r="B29" s="5"/>
      <c r="C29" s="5"/>
      <c r="D29" s="5"/>
      <c r="E29" s="7" t="str">
        <f aca="false">IF($C29="","",IF(OR($C29="Receiving",$C29="Stock Count Adjustment"),$D29,-$D29))</f>
        <v/>
      </c>
      <c r="F29" s="5"/>
      <c r="G29" s="5"/>
      <c r="H29" s="5"/>
      <c r="I29" s="5"/>
      <c r="J29" s="5"/>
    </row>
    <row r="30" customFormat="false" ht="15" hidden="false" customHeight="false" outlineLevel="0" collapsed="false">
      <c r="A30" s="7" t="str">
        <f aca="false">IF($C30="","","M"&amp;TEXT(ROW()-1,"0000"))</f>
        <v/>
      </c>
      <c r="B30" s="5"/>
      <c r="C30" s="5"/>
      <c r="D30" s="5"/>
      <c r="E30" s="7" t="str">
        <f aca="false">IF($C30="","",IF(OR($C30="Receiving",$C30="Stock Count Adjustment"),$D30,-$D30))</f>
        <v/>
      </c>
      <c r="F30" s="5"/>
      <c r="G30" s="5"/>
      <c r="H30" s="5"/>
      <c r="I30" s="5"/>
      <c r="J30" s="5"/>
    </row>
    <row r="31" customFormat="false" ht="15" hidden="false" customHeight="false" outlineLevel="0" collapsed="false">
      <c r="A31" s="7" t="str">
        <f aca="false">IF($C31="","","M"&amp;TEXT(ROW()-1,"0000"))</f>
        <v/>
      </c>
      <c r="B31" s="5"/>
      <c r="C31" s="5"/>
      <c r="D31" s="5"/>
      <c r="E31" s="7" t="str">
        <f aca="false">IF($C31="","",IF(OR($C31="Receiving",$C31="Stock Count Adjustment"),$D31,-$D31))</f>
        <v/>
      </c>
      <c r="F31" s="5"/>
      <c r="G31" s="5"/>
      <c r="H31" s="5"/>
      <c r="I31" s="5"/>
      <c r="J31" s="5"/>
    </row>
    <row r="32" customFormat="false" ht="15" hidden="false" customHeight="false" outlineLevel="0" collapsed="false">
      <c r="A32" s="7" t="str">
        <f aca="false">IF($C32="","","M"&amp;TEXT(ROW()-1,"0000"))</f>
        <v/>
      </c>
      <c r="B32" s="5"/>
      <c r="C32" s="5"/>
      <c r="D32" s="5"/>
      <c r="E32" s="7" t="str">
        <f aca="false">IF($C32="","",IF(OR($C32="Receiving",$C32="Stock Count Adjustment"),$D32,-$D32))</f>
        <v/>
      </c>
      <c r="F32" s="5"/>
      <c r="G32" s="5"/>
      <c r="H32" s="5"/>
      <c r="I32" s="5"/>
      <c r="J32" s="5"/>
    </row>
    <row r="33" customFormat="false" ht="15" hidden="false" customHeight="false" outlineLevel="0" collapsed="false">
      <c r="A33" s="7" t="str">
        <f aca="false">IF($C33="","","M"&amp;TEXT(ROW()-1,"0000"))</f>
        <v/>
      </c>
      <c r="B33" s="5"/>
      <c r="C33" s="5"/>
      <c r="D33" s="5"/>
      <c r="E33" s="7" t="str">
        <f aca="false">IF($C33="","",IF(OR($C33="Receiving",$C33="Stock Count Adjustment"),$D33,-$D33))</f>
        <v/>
      </c>
      <c r="F33" s="5"/>
      <c r="G33" s="5"/>
      <c r="H33" s="5"/>
      <c r="I33" s="5"/>
      <c r="J33" s="5"/>
    </row>
    <row r="34" customFormat="false" ht="15" hidden="false" customHeight="false" outlineLevel="0" collapsed="false">
      <c r="A34" s="7" t="str">
        <f aca="false">IF($C34="","","M"&amp;TEXT(ROW()-1,"0000"))</f>
        <v/>
      </c>
      <c r="B34" s="5"/>
      <c r="C34" s="5"/>
      <c r="D34" s="5"/>
      <c r="E34" s="7" t="str">
        <f aca="false">IF($C34="","",IF(OR($C34="Receiving",$C34="Stock Count Adjustment"),$D34,-$D34))</f>
        <v/>
      </c>
      <c r="F34" s="5"/>
      <c r="G34" s="5"/>
      <c r="H34" s="5"/>
      <c r="I34" s="5"/>
      <c r="J34" s="5"/>
    </row>
    <row r="35" customFormat="false" ht="15" hidden="false" customHeight="false" outlineLevel="0" collapsed="false">
      <c r="A35" s="7" t="str">
        <f aca="false">IF($C35="","","M"&amp;TEXT(ROW()-1,"0000"))</f>
        <v/>
      </c>
      <c r="B35" s="5"/>
      <c r="C35" s="5"/>
      <c r="D35" s="5"/>
      <c r="E35" s="7" t="str">
        <f aca="false">IF($C35="","",IF(OR($C35="Receiving",$C35="Stock Count Adjustment"),$D35,-$D35))</f>
        <v/>
      </c>
      <c r="F35" s="5"/>
      <c r="G35" s="5"/>
      <c r="H35" s="5"/>
      <c r="I35" s="5"/>
      <c r="J35" s="5"/>
    </row>
    <row r="36" customFormat="false" ht="15" hidden="false" customHeight="false" outlineLevel="0" collapsed="false">
      <c r="A36" s="7" t="str">
        <f aca="false">IF($C36="","","M"&amp;TEXT(ROW()-1,"0000"))</f>
        <v/>
      </c>
      <c r="B36" s="5"/>
      <c r="C36" s="5"/>
      <c r="D36" s="5"/>
      <c r="E36" s="7" t="str">
        <f aca="false">IF($C36="","",IF(OR($C36="Receiving",$C36="Stock Count Adjustment"),$D36,-$D36))</f>
        <v/>
      </c>
      <c r="F36" s="5"/>
      <c r="G36" s="5"/>
      <c r="H36" s="5"/>
      <c r="I36" s="5"/>
      <c r="J36" s="5"/>
    </row>
    <row r="37" customFormat="false" ht="15" hidden="false" customHeight="false" outlineLevel="0" collapsed="false">
      <c r="A37" s="7" t="str">
        <f aca="false">IF($C37="","","M"&amp;TEXT(ROW()-1,"0000"))</f>
        <v/>
      </c>
      <c r="B37" s="5"/>
      <c r="C37" s="5"/>
      <c r="D37" s="5"/>
      <c r="E37" s="7" t="str">
        <f aca="false">IF($C37="","",IF(OR($C37="Receiving",$C37="Stock Count Adjustment"),$D37,-$D37))</f>
        <v/>
      </c>
      <c r="F37" s="5"/>
      <c r="G37" s="5"/>
      <c r="H37" s="5"/>
      <c r="I37" s="5"/>
      <c r="J37" s="5"/>
    </row>
    <row r="38" customFormat="false" ht="15" hidden="false" customHeight="false" outlineLevel="0" collapsed="false">
      <c r="A38" s="7" t="str">
        <f aca="false">IF($C38="","","M"&amp;TEXT(ROW()-1,"0000"))</f>
        <v/>
      </c>
      <c r="B38" s="5"/>
      <c r="C38" s="5"/>
      <c r="D38" s="5"/>
      <c r="E38" s="7" t="str">
        <f aca="false">IF($C38="","",IF(OR($C38="Receiving",$C38="Stock Count Adjustment"),$D38,-$D38))</f>
        <v/>
      </c>
      <c r="F38" s="5"/>
      <c r="G38" s="5"/>
      <c r="H38" s="5"/>
      <c r="I38" s="5"/>
      <c r="J38" s="5"/>
    </row>
    <row r="39" customFormat="false" ht="15" hidden="false" customHeight="false" outlineLevel="0" collapsed="false">
      <c r="A39" s="7" t="str">
        <f aca="false">IF($C39="","","M"&amp;TEXT(ROW()-1,"0000"))</f>
        <v/>
      </c>
      <c r="B39" s="5"/>
      <c r="C39" s="5"/>
      <c r="D39" s="5"/>
      <c r="E39" s="7" t="str">
        <f aca="false">IF($C39="","",IF(OR($C39="Receiving",$C39="Stock Count Adjustment"),$D39,-$D39))</f>
        <v/>
      </c>
      <c r="F39" s="5"/>
      <c r="G39" s="5"/>
      <c r="H39" s="5"/>
      <c r="I39" s="5"/>
      <c r="J39" s="5"/>
    </row>
    <row r="40" customFormat="false" ht="15" hidden="false" customHeight="false" outlineLevel="0" collapsed="false">
      <c r="A40" s="7" t="str">
        <f aca="false">IF($C40="","","M"&amp;TEXT(ROW()-1,"0000"))</f>
        <v/>
      </c>
      <c r="B40" s="5"/>
      <c r="C40" s="5"/>
      <c r="D40" s="5"/>
      <c r="E40" s="7" t="str">
        <f aca="false">IF($C40="","",IF(OR($C40="Receiving",$C40="Stock Count Adjustment"),$D40,-$D40))</f>
        <v/>
      </c>
      <c r="F40" s="5"/>
      <c r="G40" s="5"/>
      <c r="H40" s="5"/>
      <c r="I40" s="5"/>
      <c r="J40" s="5"/>
    </row>
    <row r="41" customFormat="false" ht="15" hidden="false" customHeight="false" outlineLevel="0" collapsed="false">
      <c r="A41" s="7" t="str">
        <f aca="false">IF($C41="","","M"&amp;TEXT(ROW()-1,"0000"))</f>
        <v/>
      </c>
      <c r="B41" s="5"/>
      <c r="C41" s="5"/>
      <c r="D41" s="5"/>
      <c r="E41" s="7" t="str">
        <f aca="false">IF($C41="","",IF(OR($C41="Receiving",$C41="Stock Count Adjustment"),$D41,-$D41))</f>
        <v/>
      </c>
      <c r="F41" s="5"/>
      <c r="G41" s="5"/>
      <c r="H41" s="5"/>
      <c r="I41" s="5"/>
      <c r="J41" s="5"/>
    </row>
    <row r="42" customFormat="false" ht="15" hidden="false" customHeight="false" outlineLevel="0" collapsed="false">
      <c r="A42" s="7" t="str">
        <f aca="false">IF($C42="","","M"&amp;TEXT(ROW()-1,"0000"))</f>
        <v/>
      </c>
      <c r="B42" s="5"/>
      <c r="C42" s="5"/>
      <c r="D42" s="5"/>
      <c r="E42" s="7" t="str">
        <f aca="false">IF($C42="","",IF(OR($C42="Receiving",$C42="Stock Count Adjustment"),$D42,-$D42))</f>
        <v/>
      </c>
      <c r="F42" s="5"/>
      <c r="G42" s="5"/>
      <c r="H42" s="5"/>
      <c r="I42" s="5"/>
      <c r="J42" s="5"/>
    </row>
    <row r="43" customFormat="false" ht="15" hidden="false" customHeight="false" outlineLevel="0" collapsed="false">
      <c r="A43" s="7" t="str">
        <f aca="false">IF($C43="","","M"&amp;TEXT(ROW()-1,"0000"))</f>
        <v/>
      </c>
      <c r="B43" s="5"/>
      <c r="C43" s="5"/>
      <c r="D43" s="5"/>
      <c r="E43" s="7" t="str">
        <f aca="false">IF($C43="","",IF(OR($C43="Receiving",$C43="Stock Count Adjustment"),$D43,-$D43))</f>
        <v/>
      </c>
      <c r="F43" s="5"/>
      <c r="G43" s="5"/>
      <c r="H43" s="5"/>
      <c r="I43" s="5"/>
      <c r="J43" s="5"/>
    </row>
    <row r="44" customFormat="false" ht="15" hidden="false" customHeight="false" outlineLevel="0" collapsed="false">
      <c r="A44" s="7" t="str">
        <f aca="false">IF($C44="","","M"&amp;TEXT(ROW()-1,"0000"))</f>
        <v/>
      </c>
      <c r="B44" s="5"/>
      <c r="C44" s="5"/>
      <c r="D44" s="5"/>
      <c r="E44" s="7" t="str">
        <f aca="false">IF($C44="","",IF(OR($C44="Receiving",$C44="Stock Count Adjustment"),$D44,-$D44))</f>
        <v/>
      </c>
      <c r="F44" s="5"/>
      <c r="G44" s="5"/>
      <c r="H44" s="5"/>
      <c r="I44" s="5"/>
      <c r="J44" s="5"/>
    </row>
    <row r="45" customFormat="false" ht="15" hidden="false" customHeight="false" outlineLevel="0" collapsed="false">
      <c r="A45" s="7" t="str">
        <f aca="false">IF($C45="","","M"&amp;TEXT(ROW()-1,"0000"))</f>
        <v/>
      </c>
      <c r="B45" s="5"/>
      <c r="C45" s="5"/>
      <c r="D45" s="5"/>
      <c r="E45" s="7" t="str">
        <f aca="false">IF($C45="","",IF(OR($C45="Receiving",$C45="Stock Count Adjustment"),$D45,-$D45))</f>
        <v/>
      </c>
      <c r="F45" s="5"/>
      <c r="G45" s="5"/>
      <c r="H45" s="5"/>
      <c r="I45" s="5"/>
      <c r="J45" s="5"/>
    </row>
    <row r="46" customFormat="false" ht="15" hidden="false" customHeight="false" outlineLevel="0" collapsed="false">
      <c r="A46" s="7" t="str">
        <f aca="false">IF($C46="","","M"&amp;TEXT(ROW()-1,"0000"))</f>
        <v/>
      </c>
      <c r="B46" s="5"/>
      <c r="C46" s="5"/>
      <c r="D46" s="5"/>
      <c r="E46" s="7" t="str">
        <f aca="false">IF($C46="","",IF(OR($C46="Receiving",$C46="Stock Count Adjustment"),$D46,-$D46))</f>
        <v/>
      </c>
      <c r="F46" s="5"/>
      <c r="G46" s="5"/>
      <c r="H46" s="5"/>
      <c r="I46" s="5"/>
      <c r="J46" s="5"/>
    </row>
    <row r="47" customFormat="false" ht="15" hidden="false" customHeight="false" outlineLevel="0" collapsed="false">
      <c r="A47" s="7" t="str">
        <f aca="false">IF($C47="","","M"&amp;TEXT(ROW()-1,"0000"))</f>
        <v/>
      </c>
      <c r="B47" s="5"/>
      <c r="C47" s="5"/>
      <c r="D47" s="5"/>
      <c r="E47" s="7" t="str">
        <f aca="false">IF($C47="","",IF(OR($C47="Receiving",$C47="Stock Count Adjustment"),$D47,-$D47))</f>
        <v/>
      </c>
      <c r="F47" s="5"/>
      <c r="G47" s="5"/>
      <c r="H47" s="5"/>
      <c r="I47" s="5"/>
      <c r="J47" s="5"/>
    </row>
    <row r="48" customFormat="false" ht="15" hidden="false" customHeight="false" outlineLevel="0" collapsed="false">
      <c r="A48" s="7" t="str">
        <f aca="false">IF($C48="","","M"&amp;TEXT(ROW()-1,"0000"))</f>
        <v/>
      </c>
      <c r="B48" s="5"/>
      <c r="C48" s="5"/>
      <c r="D48" s="5"/>
      <c r="E48" s="7" t="str">
        <f aca="false">IF($C48="","",IF(OR($C48="Receiving",$C48="Stock Count Adjustment"),$D48,-$D48))</f>
        <v/>
      </c>
      <c r="F48" s="5"/>
      <c r="G48" s="5"/>
      <c r="H48" s="5"/>
      <c r="I48" s="5"/>
      <c r="J48" s="5"/>
    </row>
    <row r="49" customFormat="false" ht="15" hidden="false" customHeight="false" outlineLevel="0" collapsed="false">
      <c r="A49" s="7" t="str">
        <f aca="false">IF($C49="","","M"&amp;TEXT(ROW()-1,"0000"))</f>
        <v/>
      </c>
      <c r="B49" s="5"/>
      <c r="C49" s="5"/>
      <c r="D49" s="5"/>
      <c r="E49" s="7" t="str">
        <f aca="false">IF($C49="","",IF(OR($C49="Receiving",$C49="Stock Count Adjustment"),$D49,-$D49))</f>
        <v/>
      </c>
      <c r="F49" s="5"/>
      <c r="G49" s="5"/>
      <c r="H49" s="5"/>
      <c r="I49" s="5"/>
      <c r="J49" s="5"/>
    </row>
    <row r="50" customFormat="false" ht="15" hidden="false" customHeight="false" outlineLevel="0" collapsed="false">
      <c r="A50" s="7" t="str">
        <f aca="false">IF($C50="","","M"&amp;TEXT(ROW()-1,"0000"))</f>
        <v/>
      </c>
      <c r="B50" s="5"/>
      <c r="C50" s="5"/>
      <c r="D50" s="5"/>
      <c r="E50" s="7" t="str">
        <f aca="false">IF($C50="","",IF(OR($C50="Receiving",$C50="Stock Count Adjustment"),$D50,-$D50))</f>
        <v/>
      </c>
      <c r="F50" s="5"/>
      <c r="G50" s="5"/>
      <c r="H50" s="5"/>
      <c r="I50" s="5"/>
      <c r="J50" s="5"/>
    </row>
    <row r="51" customFormat="false" ht="15" hidden="false" customHeight="false" outlineLevel="0" collapsed="false">
      <c r="A51" s="7" t="str">
        <f aca="false">IF($C51="","","M"&amp;TEXT(ROW()-1,"0000"))</f>
        <v/>
      </c>
      <c r="B51" s="5"/>
      <c r="C51" s="5"/>
      <c r="D51" s="5"/>
      <c r="E51" s="7" t="str">
        <f aca="false">IF($C51="","",IF(OR($C51="Receiving",$C51="Stock Count Adjustment"),$D51,-$D51))</f>
        <v/>
      </c>
      <c r="F51" s="5"/>
      <c r="G51" s="5"/>
      <c r="H51" s="5"/>
      <c r="I51" s="5"/>
      <c r="J51" s="5"/>
    </row>
    <row r="52" customFormat="false" ht="15" hidden="false" customHeight="false" outlineLevel="0" collapsed="false">
      <c r="A52" s="7" t="str">
        <f aca="false">IF($C52="","","M"&amp;TEXT(ROW()-1,"0000"))</f>
        <v/>
      </c>
      <c r="B52" s="5"/>
      <c r="C52" s="5"/>
      <c r="D52" s="5"/>
      <c r="E52" s="7" t="str">
        <f aca="false">IF($C52="","",IF(OR($C52="Receiving",$C52="Stock Count Adjustment"),$D52,-$D52))</f>
        <v/>
      </c>
      <c r="F52" s="5"/>
      <c r="G52" s="5"/>
      <c r="H52" s="5"/>
      <c r="I52" s="5"/>
      <c r="J52" s="5"/>
    </row>
    <row r="53" customFormat="false" ht="15" hidden="false" customHeight="false" outlineLevel="0" collapsed="false">
      <c r="A53" s="7" t="str">
        <f aca="false">IF($C53="","","M"&amp;TEXT(ROW()-1,"0000"))</f>
        <v/>
      </c>
      <c r="B53" s="5"/>
      <c r="C53" s="5"/>
      <c r="D53" s="5"/>
      <c r="E53" s="7" t="str">
        <f aca="false">IF($C53="","",IF(OR($C53="Receiving",$C53="Stock Count Adjustment"),$D53,-$D53))</f>
        <v/>
      </c>
      <c r="F53" s="5"/>
      <c r="G53" s="5"/>
      <c r="H53" s="5"/>
      <c r="I53" s="5"/>
      <c r="J53" s="5"/>
    </row>
    <row r="54" customFormat="false" ht="15" hidden="false" customHeight="false" outlineLevel="0" collapsed="false">
      <c r="A54" s="7" t="str">
        <f aca="false">IF($C54="","","M"&amp;TEXT(ROW()-1,"0000"))</f>
        <v/>
      </c>
      <c r="B54" s="5"/>
      <c r="C54" s="5"/>
      <c r="D54" s="5"/>
      <c r="E54" s="7" t="str">
        <f aca="false">IF($C54="","",IF(OR($C54="Receiving",$C54="Stock Count Adjustment"),$D54,-$D54))</f>
        <v/>
      </c>
      <c r="F54" s="5"/>
      <c r="G54" s="5"/>
      <c r="H54" s="5"/>
      <c r="I54" s="5"/>
      <c r="J54" s="5"/>
    </row>
    <row r="55" customFormat="false" ht="15" hidden="false" customHeight="false" outlineLevel="0" collapsed="false">
      <c r="A55" s="7" t="str">
        <f aca="false">IF($C55="","","M"&amp;TEXT(ROW()-1,"0000"))</f>
        <v/>
      </c>
      <c r="B55" s="5"/>
      <c r="C55" s="5"/>
      <c r="D55" s="5"/>
      <c r="E55" s="7" t="str">
        <f aca="false">IF($C55="","",IF(OR($C55="Receiving",$C55="Stock Count Adjustment"),$D55,-$D55))</f>
        <v/>
      </c>
      <c r="F55" s="5"/>
      <c r="G55" s="5"/>
      <c r="H55" s="5"/>
      <c r="I55" s="5"/>
      <c r="J55" s="5"/>
    </row>
    <row r="56" customFormat="false" ht="15" hidden="false" customHeight="false" outlineLevel="0" collapsed="false">
      <c r="A56" s="7" t="str">
        <f aca="false">IF($C56="","","M"&amp;TEXT(ROW()-1,"0000"))</f>
        <v/>
      </c>
      <c r="B56" s="5"/>
      <c r="C56" s="5"/>
      <c r="D56" s="5"/>
      <c r="E56" s="7" t="str">
        <f aca="false">IF($C56="","",IF(OR($C56="Receiving",$C56="Stock Count Adjustment"),$D56,-$D56))</f>
        <v/>
      </c>
      <c r="F56" s="5"/>
      <c r="G56" s="5"/>
      <c r="H56" s="5"/>
      <c r="I56" s="5"/>
      <c r="J56" s="5"/>
    </row>
    <row r="57" customFormat="false" ht="15" hidden="false" customHeight="false" outlineLevel="0" collapsed="false">
      <c r="A57" s="7" t="str">
        <f aca="false">IF($C57="","","M"&amp;TEXT(ROW()-1,"0000"))</f>
        <v/>
      </c>
      <c r="B57" s="5"/>
      <c r="C57" s="5"/>
      <c r="D57" s="5"/>
      <c r="E57" s="7" t="str">
        <f aca="false">IF($C57="","",IF(OR($C57="Receiving",$C57="Stock Count Adjustment"),$D57,-$D57))</f>
        <v/>
      </c>
      <c r="F57" s="5"/>
      <c r="G57" s="5"/>
      <c r="H57" s="5"/>
      <c r="I57" s="5"/>
      <c r="J57" s="5"/>
    </row>
    <row r="58" customFormat="false" ht="15" hidden="false" customHeight="false" outlineLevel="0" collapsed="false">
      <c r="A58" s="7" t="str">
        <f aca="false">IF($C58="","","M"&amp;TEXT(ROW()-1,"0000"))</f>
        <v/>
      </c>
      <c r="B58" s="5"/>
      <c r="C58" s="5"/>
      <c r="D58" s="5"/>
      <c r="E58" s="7" t="str">
        <f aca="false">IF($C58="","",IF(OR($C58="Receiving",$C58="Stock Count Adjustment"),$D58,-$D58))</f>
        <v/>
      </c>
      <c r="F58" s="5"/>
      <c r="G58" s="5"/>
      <c r="H58" s="5"/>
      <c r="I58" s="5"/>
      <c r="J58" s="5"/>
    </row>
    <row r="59" customFormat="false" ht="15" hidden="false" customHeight="false" outlineLevel="0" collapsed="false">
      <c r="A59" s="7" t="str">
        <f aca="false">IF($C59="","","M"&amp;TEXT(ROW()-1,"0000"))</f>
        <v/>
      </c>
      <c r="B59" s="5"/>
      <c r="C59" s="5"/>
      <c r="D59" s="5"/>
      <c r="E59" s="7" t="str">
        <f aca="false">IF($C59="","",IF(OR($C59="Receiving",$C59="Stock Count Adjustment"),$D59,-$D59))</f>
        <v/>
      </c>
      <c r="F59" s="5"/>
      <c r="G59" s="5"/>
      <c r="H59" s="5"/>
      <c r="I59" s="5"/>
      <c r="J59" s="5"/>
    </row>
    <row r="60" customFormat="false" ht="15" hidden="false" customHeight="false" outlineLevel="0" collapsed="false">
      <c r="A60" s="7" t="str">
        <f aca="false">IF($C60="","","M"&amp;TEXT(ROW()-1,"0000"))</f>
        <v/>
      </c>
      <c r="B60" s="5"/>
      <c r="C60" s="5"/>
      <c r="D60" s="5"/>
      <c r="E60" s="7" t="str">
        <f aca="false">IF($C60="","",IF(OR($C60="Receiving",$C60="Stock Count Adjustment"),$D60,-$D60))</f>
        <v/>
      </c>
      <c r="F60" s="5"/>
      <c r="G60" s="5"/>
      <c r="H60" s="5"/>
      <c r="I60" s="5"/>
      <c r="J60" s="5"/>
    </row>
    <row r="61" customFormat="false" ht="15" hidden="false" customHeight="false" outlineLevel="0" collapsed="false">
      <c r="A61" s="7" t="str">
        <f aca="false">IF($C61="","","M"&amp;TEXT(ROW()-1,"0000"))</f>
        <v/>
      </c>
      <c r="B61" s="5"/>
      <c r="C61" s="5"/>
      <c r="D61" s="5"/>
      <c r="E61" s="7" t="str">
        <f aca="false">IF($C61="","",IF(OR($C61="Receiving",$C61="Stock Count Adjustment"),$D61,-$D61))</f>
        <v/>
      </c>
      <c r="F61" s="5"/>
      <c r="G61" s="5"/>
      <c r="H61" s="5"/>
      <c r="I61" s="5"/>
      <c r="J61" s="5"/>
    </row>
    <row r="62" customFormat="false" ht="15" hidden="false" customHeight="false" outlineLevel="0" collapsed="false">
      <c r="A62" s="7" t="str">
        <f aca="false">IF($C62="","","M"&amp;TEXT(ROW()-1,"0000"))</f>
        <v/>
      </c>
      <c r="B62" s="5"/>
      <c r="C62" s="5"/>
      <c r="D62" s="5"/>
      <c r="E62" s="7" t="str">
        <f aca="false">IF($C62="","",IF(OR($C62="Receiving",$C62="Stock Count Adjustment"),$D62,-$D62))</f>
        <v/>
      </c>
      <c r="F62" s="5"/>
      <c r="G62" s="5"/>
      <c r="H62" s="5"/>
      <c r="I62" s="5"/>
      <c r="J62" s="5"/>
    </row>
    <row r="63" customFormat="false" ht="15" hidden="false" customHeight="false" outlineLevel="0" collapsed="false">
      <c r="A63" s="7" t="str">
        <f aca="false">IF($C63="","","M"&amp;TEXT(ROW()-1,"0000"))</f>
        <v/>
      </c>
      <c r="B63" s="5"/>
      <c r="C63" s="5"/>
      <c r="D63" s="5"/>
      <c r="E63" s="7" t="str">
        <f aca="false">IF($C63="","",IF(OR($C63="Receiving",$C63="Stock Count Adjustment"),$D63,-$D63))</f>
        <v/>
      </c>
      <c r="F63" s="5"/>
      <c r="G63" s="5"/>
      <c r="H63" s="5"/>
      <c r="I63" s="5"/>
      <c r="J63" s="5"/>
    </row>
    <row r="64" customFormat="false" ht="15" hidden="false" customHeight="false" outlineLevel="0" collapsed="false">
      <c r="A64" s="7" t="str">
        <f aca="false">IF($C64="","","M"&amp;TEXT(ROW()-1,"0000"))</f>
        <v/>
      </c>
      <c r="B64" s="5"/>
      <c r="C64" s="5"/>
      <c r="D64" s="5"/>
      <c r="E64" s="7" t="str">
        <f aca="false">IF($C64="","",IF(OR($C64="Receiving",$C64="Stock Count Adjustment"),$D64,-$D64))</f>
        <v/>
      </c>
      <c r="F64" s="5"/>
      <c r="G64" s="5"/>
      <c r="H64" s="5"/>
      <c r="I64" s="5"/>
      <c r="J64" s="5"/>
    </row>
    <row r="65" customFormat="false" ht="15" hidden="false" customHeight="false" outlineLevel="0" collapsed="false">
      <c r="A65" s="7" t="str">
        <f aca="false">IF($C65="","","M"&amp;TEXT(ROW()-1,"0000"))</f>
        <v/>
      </c>
      <c r="B65" s="5"/>
      <c r="C65" s="5"/>
      <c r="D65" s="5"/>
      <c r="E65" s="7" t="str">
        <f aca="false">IF($C65="","",IF(OR($C65="Receiving",$C65="Stock Count Adjustment"),$D65,-$D65))</f>
        <v/>
      </c>
      <c r="F65" s="5"/>
      <c r="G65" s="5"/>
      <c r="H65" s="5"/>
      <c r="I65" s="5"/>
      <c r="J65" s="5"/>
    </row>
    <row r="66" customFormat="false" ht="15" hidden="false" customHeight="false" outlineLevel="0" collapsed="false">
      <c r="A66" s="7" t="str">
        <f aca="false">IF($C66="","","M"&amp;TEXT(ROW()-1,"0000"))</f>
        <v/>
      </c>
      <c r="B66" s="5"/>
      <c r="C66" s="5"/>
      <c r="D66" s="5"/>
      <c r="E66" s="7" t="str">
        <f aca="false">IF($C66="","",IF(OR($C66="Receiving",$C66="Stock Count Adjustment"),$D66,-$D66))</f>
        <v/>
      </c>
      <c r="F66" s="5"/>
      <c r="G66" s="5"/>
      <c r="H66" s="5"/>
      <c r="I66" s="5"/>
      <c r="J66" s="5"/>
    </row>
    <row r="67" customFormat="false" ht="15" hidden="false" customHeight="false" outlineLevel="0" collapsed="false">
      <c r="A67" s="7" t="str">
        <f aca="false">IF($C67="","","M"&amp;TEXT(ROW()-1,"0000"))</f>
        <v/>
      </c>
      <c r="B67" s="5"/>
      <c r="C67" s="5"/>
      <c r="D67" s="5"/>
      <c r="E67" s="7" t="str">
        <f aca="false">IF($C67="","",IF(OR($C67="Receiving",$C67="Stock Count Adjustment"),$D67,-$D67))</f>
        <v/>
      </c>
      <c r="F67" s="5"/>
      <c r="G67" s="5"/>
      <c r="H67" s="5"/>
      <c r="I67" s="5"/>
      <c r="J67" s="5"/>
    </row>
    <row r="68" customFormat="false" ht="15" hidden="false" customHeight="false" outlineLevel="0" collapsed="false">
      <c r="A68" s="7" t="str">
        <f aca="false">IF($C68="","","M"&amp;TEXT(ROW()-1,"0000"))</f>
        <v/>
      </c>
      <c r="B68" s="5"/>
      <c r="C68" s="5"/>
      <c r="D68" s="5"/>
      <c r="E68" s="7" t="str">
        <f aca="false">IF($C68="","",IF(OR($C68="Receiving",$C68="Stock Count Adjustment"),$D68,-$D68))</f>
        <v/>
      </c>
      <c r="F68" s="5"/>
      <c r="G68" s="5"/>
      <c r="H68" s="5"/>
      <c r="I68" s="5"/>
      <c r="J68" s="5"/>
    </row>
    <row r="69" customFormat="false" ht="15" hidden="false" customHeight="false" outlineLevel="0" collapsed="false">
      <c r="A69" s="7" t="str">
        <f aca="false">IF($C69="","","M"&amp;TEXT(ROW()-1,"0000"))</f>
        <v/>
      </c>
      <c r="B69" s="5"/>
      <c r="C69" s="5"/>
      <c r="D69" s="5"/>
      <c r="E69" s="7" t="str">
        <f aca="false">IF($C69="","",IF(OR($C69="Receiving",$C69="Stock Count Adjustment"),$D69,-$D69))</f>
        <v/>
      </c>
      <c r="F69" s="5"/>
      <c r="G69" s="5"/>
      <c r="H69" s="5"/>
      <c r="I69" s="5"/>
      <c r="J69" s="5"/>
    </row>
    <row r="70" customFormat="false" ht="15" hidden="false" customHeight="false" outlineLevel="0" collapsed="false">
      <c r="A70" s="7" t="str">
        <f aca="false">IF($C70="","","M"&amp;TEXT(ROW()-1,"0000"))</f>
        <v/>
      </c>
      <c r="B70" s="5"/>
      <c r="C70" s="5"/>
      <c r="D70" s="5"/>
      <c r="E70" s="7" t="str">
        <f aca="false">IF($C70="","",IF(OR($C70="Receiving",$C70="Stock Count Adjustment"),$D70,-$D70))</f>
        <v/>
      </c>
      <c r="F70" s="5"/>
      <c r="G70" s="5"/>
      <c r="H70" s="5"/>
      <c r="I70" s="5"/>
      <c r="J70" s="5"/>
    </row>
    <row r="71" customFormat="false" ht="15" hidden="false" customHeight="false" outlineLevel="0" collapsed="false">
      <c r="A71" s="7" t="str">
        <f aca="false">IF($C71="","","M"&amp;TEXT(ROW()-1,"0000"))</f>
        <v/>
      </c>
      <c r="B71" s="5"/>
      <c r="C71" s="5"/>
      <c r="D71" s="5"/>
      <c r="E71" s="7" t="str">
        <f aca="false">IF($C71="","",IF(OR($C71="Receiving",$C71="Stock Count Adjustment"),$D71,-$D71))</f>
        <v/>
      </c>
      <c r="F71" s="5"/>
      <c r="G71" s="5"/>
      <c r="H71" s="5"/>
      <c r="I71" s="5"/>
      <c r="J71" s="5"/>
    </row>
    <row r="72" customFormat="false" ht="15" hidden="false" customHeight="false" outlineLevel="0" collapsed="false">
      <c r="A72" s="7" t="str">
        <f aca="false">IF($C72="","","M"&amp;TEXT(ROW()-1,"0000"))</f>
        <v/>
      </c>
      <c r="B72" s="5"/>
      <c r="C72" s="5"/>
      <c r="D72" s="5"/>
      <c r="E72" s="7" t="str">
        <f aca="false">IF($C72="","",IF(OR($C72="Receiving",$C72="Stock Count Adjustment"),$D72,-$D72))</f>
        <v/>
      </c>
      <c r="F72" s="5"/>
      <c r="G72" s="5"/>
      <c r="H72" s="5"/>
      <c r="I72" s="5"/>
      <c r="J72" s="5"/>
    </row>
    <row r="73" customFormat="false" ht="15" hidden="false" customHeight="false" outlineLevel="0" collapsed="false">
      <c r="A73" s="7" t="str">
        <f aca="false">IF($C73="","","M"&amp;TEXT(ROW()-1,"0000"))</f>
        <v/>
      </c>
      <c r="B73" s="5"/>
      <c r="C73" s="5"/>
      <c r="D73" s="5"/>
      <c r="E73" s="7" t="str">
        <f aca="false">IF($C73="","",IF(OR($C73="Receiving",$C73="Stock Count Adjustment"),$D73,-$D73))</f>
        <v/>
      </c>
      <c r="F73" s="5"/>
      <c r="G73" s="5"/>
      <c r="H73" s="5"/>
      <c r="I73" s="5"/>
      <c r="J73" s="5"/>
    </row>
    <row r="74" customFormat="false" ht="15" hidden="false" customHeight="false" outlineLevel="0" collapsed="false">
      <c r="A74" s="7" t="str">
        <f aca="false">IF($C74="","","M"&amp;TEXT(ROW()-1,"0000"))</f>
        <v/>
      </c>
      <c r="B74" s="5"/>
      <c r="C74" s="5"/>
      <c r="D74" s="5"/>
      <c r="E74" s="7" t="str">
        <f aca="false">IF($C74="","",IF(OR($C74="Receiving",$C74="Stock Count Adjustment"),$D74,-$D74))</f>
        <v/>
      </c>
      <c r="F74" s="5"/>
      <c r="G74" s="5"/>
      <c r="H74" s="5"/>
      <c r="I74" s="5"/>
      <c r="J74" s="5"/>
    </row>
    <row r="75" customFormat="false" ht="15" hidden="false" customHeight="false" outlineLevel="0" collapsed="false">
      <c r="A75" s="7" t="str">
        <f aca="false">IF($C75="","","M"&amp;TEXT(ROW()-1,"0000"))</f>
        <v/>
      </c>
      <c r="B75" s="5"/>
      <c r="C75" s="5"/>
      <c r="D75" s="5"/>
      <c r="E75" s="7" t="str">
        <f aca="false">IF($C75="","",IF(OR($C75="Receiving",$C75="Stock Count Adjustment"),$D75,-$D75))</f>
        <v/>
      </c>
      <c r="F75" s="5"/>
      <c r="G75" s="5"/>
      <c r="H75" s="5"/>
      <c r="I75" s="5"/>
      <c r="J75" s="5"/>
    </row>
    <row r="76" customFormat="false" ht="15" hidden="false" customHeight="false" outlineLevel="0" collapsed="false">
      <c r="A76" s="7" t="str">
        <f aca="false">IF($C76="","","M"&amp;TEXT(ROW()-1,"0000"))</f>
        <v/>
      </c>
      <c r="B76" s="5"/>
      <c r="C76" s="5"/>
      <c r="D76" s="5"/>
      <c r="E76" s="7" t="str">
        <f aca="false">IF($C76="","",IF(OR($C76="Receiving",$C76="Stock Count Adjustment"),$D76,-$D76))</f>
        <v/>
      </c>
      <c r="F76" s="5"/>
      <c r="G76" s="5"/>
      <c r="H76" s="5"/>
      <c r="I76" s="5"/>
      <c r="J76" s="5"/>
    </row>
    <row r="77" customFormat="false" ht="15" hidden="false" customHeight="false" outlineLevel="0" collapsed="false">
      <c r="A77" s="7" t="str">
        <f aca="false">IF($C77="","","M"&amp;TEXT(ROW()-1,"0000"))</f>
        <v/>
      </c>
      <c r="B77" s="5"/>
      <c r="C77" s="5"/>
      <c r="D77" s="5"/>
      <c r="E77" s="7" t="str">
        <f aca="false">IF($C77="","",IF(OR($C77="Receiving",$C77="Stock Count Adjustment"),$D77,-$D77))</f>
        <v/>
      </c>
      <c r="F77" s="5"/>
      <c r="G77" s="5"/>
      <c r="H77" s="5"/>
      <c r="I77" s="5"/>
      <c r="J77" s="5"/>
    </row>
    <row r="78" customFormat="false" ht="15" hidden="false" customHeight="false" outlineLevel="0" collapsed="false">
      <c r="A78" s="7" t="str">
        <f aca="false">IF($C78="","","M"&amp;TEXT(ROW()-1,"0000"))</f>
        <v/>
      </c>
      <c r="B78" s="5"/>
      <c r="C78" s="5"/>
      <c r="D78" s="5"/>
      <c r="E78" s="7" t="str">
        <f aca="false">IF($C78="","",IF(OR($C78="Receiving",$C78="Stock Count Adjustment"),$D78,-$D78))</f>
        <v/>
      </c>
      <c r="F78" s="5"/>
      <c r="G78" s="5"/>
      <c r="H78" s="5"/>
      <c r="I78" s="5"/>
      <c r="J78" s="5"/>
    </row>
    <row r="79" customFormat="false" ht="15" hidden="false" customHeight="false" outlineLevel="0" collapsed="false">
      <c r="A79" s="7" t="str">
        <f aca="false">IF($C79="","","M"&amp;TEXT(ROW()-1,"0000"))</f>
        <v/>
      </c>
      <c r="B79" s="5"/>
      <c r="C79" s="5"/>
      <c r="D79" s="5"/>
      <c r="E79" s="7" t="str">
        <f aca="false">IF($C79="","",IF(OR($C79="Receiving",$C79="Stock Count Adjustment"),$D79,-$D79))</f>
        <v/>
      </c>
      <c r="F79" s="5"/>
      <c r="G79" s="5"/>
      <c r="H79" s="5"/>
      <c r="I79" s="5"/>
      <c r="J79" s="5"/>
    </row>
    <row r="80" customFormat="false" ht="15" hidden="false" customHeight="false" outlineLevel="0" collapsed="false">
      <c r="A80" s="7" t="str">
        <f aca="false">IF($C80="","","M"&amp;TEXT(ROW()-1,"0000"))</f>
        <v/>
      </c>
      <c r="B80" s="5"/>
      <c r="C80" s="5"/>
      <c r="D80" s="5"/>
      <c r="E80" s="7" t="str">
        <f aca="false">IF($C80="","",IF(OR($C80="Receiving",$C80="Stock Count Adjustment"),$D80,-$D80))</f>
        <v/>
      </c>
      <c r="F80" s="5"/>
      <c r="G80" s="5"/>
      <c r="H80" s="5"/>
      <c r="I80" s="5"/>
      <c r="J80" s="5"/>
    </row>
    <row r="81" customFormat="false" ht="15" hidden="false" customHeight="false" outlineLevel="0" collapsed="false">
      <c r="A81" s="7" t="str">
        <f aca="false">IF($C81="","","M"&amp;TEXT(ROW()-1,"0000"))</f>
        <v/>
      </c>
      <c r="B81" s="5"/>
      <c r="C81" s="5"/>
      <c r="D81" s="5"/>
      <c r="E81" s="7" t="str">
        <f aca="false">IF($C81="","",IF(OR($C81="Receiving",$C81="Stock Count Adjustment"),$D81,-$D81))</f>
        <v/>
      </c>
      <c r="F81" s="5"/>
      <c r="G81" s="5"/>
      <c r="H81" s="5"/>
      <c r="I81" s="5"/>
      <c r="J81" s="5"/>
    </row>
    <row r="82" customFormat="false" ht="15" hidden="false" customHeight="false" outlineLevel="0" collapsed="false">
      <c r="A82" s="7" t="str">
        <f aca="false">IF($C82="","","M"&amp;TEXT(ROW()-1,"0000"))</f>
        <v/>
      </c>
      <c r="B82" s="5"/>
      <c r="C82" s="5"/>
      <c r="D82" s="5"/>
      <c r="E82" s="7" t="str">
        <f aca="false">IF($C82="","",IF(OR($C82="Receiving",$C82="Stock Count Adjustment"),$D82,-$D82))</f>
        <v/>
      </c>
      <c r="F82" s="5"/>
      <c r="G82" s="5"/>
      <c r="H82" s="5"/>
      <c r="I82" s="5"/>
      <c r="J82" s="5"/>
    </row>
    <row r="83" customFormat="false" ht="15" hidden="false" customHeight="false" outlineLevel="0" collapsed="false">
      <c r="A83" s="7" t="str">
        <f aca="false">IF($C83="","","M"&amp;TEXT(ROW()-1,"0000"))</f>
        <v/>
      </c>
      <c r="B83" s="5"/>
      <c r="C83" s="5"/>
      <c r="D83" s="5"/>
      <c r="E83" s="7" t="str">
        <f aca="false">IF($C83="","",IF(OR($C83="Receiving",$C83="Stock Count Adjustment"),$D83,-$D83))</f>
        <v/>
      </c>
      <c r="F83" s="5"/>
      <c r="G83" s="5"/>
      <c r="H83" s="5"/>
      <c r="I83" s="5"/>
      <c r="J83" s="5"/>
    </row>
    <row r="84" customFormat="false" ht="15" hidden="false" customHeight="false" outlineLevel="0" collapsed="false">
      <c r="A84" s="7" t="str">
        <f aca="false">IF($C84="","","M"&amp;TEXT(ROW()-1,"0000"))</f>
        <v/>
      </c>
      <c r="B84" s="5"/>
      <c r="C84" s="5"/>
      <c r="D84" s="5"/>
      <c r="E84" s="7" t="str">
        <f aca="false">IF($C84="","",IF(OR($C84="Receiving",$C84="Stock Count Adjustment"),$D84,-$D84))</f>
        <v/>
      </c>
      <c r="F84" s="5"/>
      <c r="G84" s="5"/>
      <c r="H84" s="5"/>
      <c r="I84" s="5"/>
      <c r="J84" s="5"/>
    </row>
    <row r="85" customFormat="false" ht="15" hidden="false" customHeight="false" outlineLevel="0" collapsed="false">
      <c r="A85" s="7" t="str">
        <f aca="false">IF($C85="","","M"&amp;TEXT(ROW()-1,"0000"))</f>
        <v/>
      </c>
      <c r="B85" s="5"/>
      <c r="C85" s="5"/>
      <c r="D85" s="5"/>
      <c r="E85" s="7" t="str">
        <f aca="false">IF($C85="","",IF(OR($C85="Receiving",$C85="Stock Count Adjustment"),$D85,-$D85))</f>
        <v/>
      </c>
      <c r="F85" s="5"/>
      <c r="G85" s="5"/>
      <c r="H85" s="5"/>
      <c r="I85" s="5"/>
      <c r="J85" s="5"/>
    </row>
    <row r="86" customFormat="false" ht="15" hidden="false" customHeight="false" outlineLevel="0" collapsed="false">
      <c r="A86" s="7" t="str">
        <f aca="false">IF($C86="","","M"&amp;TEXT(ROW()-1,"0000"))</f>
        <v/>
      </c>
      <c r="B86" s="5"/>
      <c r="C86" s="5"/>
      <c r="D86" s="5"/>
      <c r="E86" s="7" t="str">
        <f aca="false">IF($C86="","",IF(OR($C86="Receiving",$C86="Stock Count Adjustment"),$D86,-$D86))</f>
        <v/>
      </c>
      <c r="F86" s="5"/>
      <c r="G86" s="5"/>
      <c r="H86" s="5"/>
      <c r="I86" s="5"/>
      <c r="J86" s="5"/>
    </row>
    <row r="87" customFormat="false" ht="15" hidden="false" customHeight="false" outlineLevel="0" collapsed="false">
      <c r="A87" s="7" t="str">
        <f aca="false">IF($C87="","","M"&amp;TEXT(ROW()-1,"0000"))</f>
        <v/>
      </c>
      <c r="B87" s="5"/>
      <c r="C87" s="5"/>
      <c r="D87" s="5"/>
      <c r="E87" s="7" t="str">
        <f aca="false">IF($C87="","",IF(OR($C87="Receiving",$C87="Stock Count Adjustment"),$D87,-$D87))</f>
        <v/>
      </c>
      <c r="F87" s="5"/>
      <c r="G87" s="5"/>
      <c r="H87" s="5"/>
      <c r="I87" s="5"/>
      <c r="J87" s="5"/>
    </row>
    <row r="88" customFormat="false" ht="15" hidden="false" customHeight="false" outlineLevel="0" collapsed="false">
      <c r="A88" s="7" t="str">
        <f aca="false">IF($C88="","","M"&amp;TEXT(ROW()-1,"0000"))</f>
        <v/>
      </c>
      <c r="B88" s="5"/>
      <c r="C88" s="5"/>
      <c r="D88" s="5"/>
      <c r="E88" s="7" t="str">
        <f aca="false">IF($C88="","",IF(OR($C88="Receiving",$C88="Stock Count Adjustment"),$D88,-$D88))</f>
        <v/>
      </c>
      <c r="F88" s="5"/>
      <c r="G88" s="5"/>
      <c r="H88" s="5"/>
      <c r="I88" s="5"/>
      <c r="J88" s="5"/>
    </row>
    <row r="89" customFormat="false" ht="15" hidden="false" customHeight="false" outlineLevel="0" collapsed="false">
      <c r="A89" s="7" t="str">
        <f aca="false">IF($C89="","","M"&amp;TEXT(ROW()-1,"0000"))</f>
        <v/>
      </c>
      <c r="B89" s="5"/>
      <c r="C89" s="5"/>
      <c r="D89" s="5"/>
      <c r="E89" s="7" t="str">
        <f aca="false">IF($C89="","",IF(OR($C89="Receiving",$C89="Stock Count Adjustment"),$D89,-$D89))</f>
        <v/>
      </c>
      <c r="F89" s="5"/>
      <c r="G89" s="5"/>
      <c r="H89" s="5"/>
      <c r="I89" s="5"/>
      <c r="J89" s="5"/>
    </row>
    <row r="90" customFormat="false" ht="15" hidden="false" customHeight="false" outlineLevel="0" collapsed="false">
      <c r="A90" s="7" t="str">
        <f aca="false">IF($C90="","","M"&amp;TEXT(ROW()-1,"0000"))</f>
        <v/>
      </c>
      <c r="B90" s="5"/>
      <c r="C90" s="5"/>
      <c r="D90" s="5"/>
      <c r="E90" s="7" t="str">
        <f aca="false">IF($C90="","",IF(OR($C90="Receiving",$C90="Stock Count Adjustment"),$D90,-$D90))</f>
        <v/>
      </c>
      <c r="F90" s="5"/>
      <c r="G90" s="5"/>
      <c r="H90" s="5"/>
      <c r="I90" s="5"/>
      <c r="J90" s="5"/>
    </row>
    <row r="91" customFormat="false" ht="15" hidden="false" customHeight="false" outlineLevel="0" collapsed="false">
      <c r="A91" s="7" t="str">
        <f aca="false">IF($C91="","","M"&amp;TEXT(ROW()-1,"0000"))</f>
        <v/>
      </c>
      <c r="B91" s="5"/>
      <c r="C91" s="5"/>
      <c r="D91" s="5"/>
      <c r="E91" s="7" t="str">
        <f aca="false">IF($C91="","",IF(OR($C91="Receiving",$C91="Stock Count Adjustment"),$D91,-$D91))</f>
        <v/>
      </c>
      <c r="F91" s="5"/>
      <c r="G91" s="5"/>
      <c r="H91" s="5"/>
      <c r="I91" s="5"/>
      <c r="J91" s="5"/>
    </row>
    <row r="92" customFormat="false" ht="15" hidden="false" customHeight="false" outlineLevel="0" collapsed="false">
      <c r="A92" s="7" t="str">
        <f aca="false">IF($C92="","","M"&amp;TEXT(ROW()-1,"0000"))</f>
        <v/>
      </c>
      <c r="B92" s="5"/>
      <c r="C92" s="5"/>
      <c r="D92" s="5"/>
      <c r="E92" s="7" t="str">
        <f aca="false">IF($C92="","",IF(OR($C92="Receiving",$C92="Stock Count Adjustment"),$D92,-$D92))</f>
        <v/>
      </c>
      <c r="F92" s="5"/>
      <c r="G92" s="5"/>
      <c r="H92" s="5"/>
      <c r="I92" s="5"/>
      <c r="J92" s="5"/>
    </row>
    <row r="93" customFormat="false" ht="15" hidden="false" customHeight="false" outlineLevel="0" collapsed="false">
      <c r="A93" s="7" t="str">
        <f aca="false">IF($C93="","","M"&amp;TEXT(ROW()-1,"0000"))</f>
        <v/>
      </c>
      <c r="B93" s="5"/>
      <c r="C93" s="5"/>
      <c r="D93" s="5"/>
      <c r="E93" s="7" t="str">
        <f aca="false">IF($C93="","",IF(OR($C93="Receiving",$C93="Stock Count Adjustment"),$D93,-$D93))</f>
        <v/>
      </c>
      <c r="F93" s="5"/>
      <c r="G93" s="5"/>
      <c r="H93" s="5"/>
      <c r="I93" s="5"/>
      <c r="J93" s="5"/>
    </row>
    <row r="94" customFormat="false" ht="15" hidden="false" customHeight="false" outlineLevel="0" collapsed="false">
      <c r="A94" s="7" t="str">
        <f aca="false">IF($C94="","","M"&amp;TEXT(ROW()-1,"0000"))</f>
        <v/>
      </c>
      <c r="B94" s="5"/>
      <c r="C94" s="5"/>
      <c r="D94" s="5"/>
      <c r="E94" s="7" t="str">
        <f aca="false">IF($C94="","",IF(OR($C94="Receiving",$C94="Stock Count Adjustment"),$D94,-$D94))</f>
        <v/>
      </c>
      <c r="F94" s="5"/>
      <c r="G94" s="5"/>
      <c r="H94" s="5"/>
      <c r="I94" s="5"/>
      <c r="J94" s="5"/>
    </row>
    <row r="95" customFormat="false" ht="15" hidden="false" customHeight="false" outlineLevel="0" collapsed="false">
      <c r="A95" s="7" t="str">
        <f aca="false">IF($C95="","","M"&amp;TEXT(ROW()-1,"0000"))</f>
        <v/>
      </c>
      <c r="B95" s="5"/>
      <c r="C95" s="5"/>
      <c r="D95" s="5"/>
      <c r="E95" s="7" t="str">
        <f aca="false">IF($C95="","",IF(OR($C95="Receiving",$C95="Stock Count Adjustment"),$D95,-$D95))</f>
        <v/>
      </c>
      <c r="F95" s="5"/>
      <c r="G95" s="5"/>
      <c r="H95" s="5"/>
      <c r="I95" s="5"/>
      <c r="J95" s="5"/>
    </row>
    <row r="96" customFormat="false" ht="15" hidden="false" customHeight="false" outlineLevel="0" collapsed="false">
      <c r="A96" s="7" t="str">
        <f aca="false">IF($C96="","","M"&amp;TEXT(ROW()-1,"0000"))</f>
        <v/>
      </c>
      <c r="B96" s="5"/>
      <c r="C96" s="5"/>
      <c r="D96" s="5"/>
      <c r="E96" s="7" t="str">
        <f aca="false">IF($C96="","",IF(OR($C96="Receiving",$C96="Stock Count Adjustment"),$D96,-$D96))</f>
        <v/>
      </c>
      <c r="F96" s="5"/>
      <c r="G96" s="5"/>
      <c r="H96" s="5"/>
      <c r="I96" s="5"/>
      <c r="J96" s="5"/>
    </row>
    <row r="97" customFormat="false" ht="15" hidden="false" customHeight="false" outlineLevel="0" collapsed="false">
      <c r="A97" s="7" t="str">
        <f aca="false">IF($C97="","","M"&amp;TEXT(ROW()-1,"0000"))</f>
        <v/>
      </c>
      <c r="B97" s="5"/>
      <c r="C97" s="5"/>
      <c r="D97" s="5"/>
      <c r="E97" s="7" t="str">
        <f aca="false">IF($C97="","",IF(OR($C97="Receiving",$C97="Stock Count Adjustment"),$D97,-$D97))</f>
        <v/>
      </c>
      <c r="F97" s="5"/>
      <c r="G97" s="5"/>
      <c r="H97" s="5"/>
      <c r="I97" s="5"/>
      <c r="J97" s="5"/>
    </row>
    <row r="98" customFormat="false" ht="15" hidden="false" customHeight="false" outlineLevel="0" collapsed="false">
      <c r="A98" s="7" t="str">
        <f aca="false">IF($C98="","","M"&amp;TEXT(ROW()-1,"0000"))</f>
        <v/>
      </c>
      <c r="B98" s="5"/>
      <c r="C98" s="5"/>
      <c r="D98" s="5"/>
      <c r="E98" s="7" t="str">
        <f aca="false">IF($C98="","",IF(OR($C98="Receiving",$C98="Stock Count Adjustment"),$D98,-$D98))</f>
        <v/>
      </c>
      <c r="F98" s="5"/>
      <c r="G98" s="5"/>
      <c r="H98" s="5"/>
      <c r="I98" s="5"/>
      <c r="J98" s="5"/>
    </row>
    <row r="99" customFormat="false" ht="15" hidden="false" customHeight="false" outlineLevel="0" collapsed="false">
      <c r="A99" s="7" t="str">
        <f aca="false">IF($C99="","","M"&amp;TEXT(ROW()-1,"0000"))</f>
        <v/>
      </c>
      <c r="B99" s="5"/>
      <c r="C99" s="5"/>
      <c r="D99" s="5"/>
      <c r="E99" s="7" t="str">
        <f aca="false">IF($C99="","",IF(OR($C99="Receiving",$C99="Stock Count Adjustment"),$D99,-$D99))</f>
        <v/>
      </c>
      <c r="F99" s="5"/>
      <c r="G99" s="5"/>
      <c r="H99" s="5"/>
      <c r="I99" s="5"/>
      <c r="J99" s="5"/>
    </row>
    <row r="100" customFormat="false" ht="15" hidden="false" customHeight="false" outlineLevel="0" collapsed="false">
      <c r="A100" s="7" t="str">
        <f aca="false">IF($C100="","","M"&amp;TEXT(ROW()-1,"0000"))</f>
        <v/>
      </c>
      <c r="B100" s="5"/>
      <c r="C100" s="5"/>
      <c r="D100" s="5"/>
      <c r="E100" s="7" t="str">
        <f aca="false">IF($C100="","",IF(OR($C100="Receiving",$C100="Stock Count Adjustment"),$D100,-$D100))</f>
        <v/>
      </c>
      <c r="F100" s="5"/>
      <c r="G100" s="5"/>
      <c r="H100" s="5"/>
      <c r="I100" s="5"/>
      <c r="J100" s="5"/>
    </row>
    <row r="101" customFormat="false" ht="15" hidden="false" customHeight="false" outlineLevel="0" collapsed="false">
      <c r="A101" s="7" t="str">
        <f aca="false">IF($C101="","","M"&amp;TEXT(ROW()-1,"0000"))</f>
        <v/>
      </c>
      <c r="B101" s="5"/>
      <c r="C101" s="5"/>
      <c r="D101" s="5"/>
      <c r="E101" s="7" t="str">
        <f aca="false">IF($C101="","",IF(OR($C101="Receiving",$C101="Stock Count Adjustment"),$D101,-$D101))</f>
        <v/>
      </c>
      <c r="F101" s="5"/>
      <c r="G101" s="5"/>
      <c r="H101" s="5"/>
      <c r="I101" s="5"/>
      <c r="J101" s="5"/>
    </row>
    <row r="102" customFormat="false" ht="15" hidden="false" customHeight="false" outlineLevel="0" collapsed="false">
      <c r="A102" s="7" t="str">
        <f aca="false">IF($C102="","","M"&amp;TEXT(ROW()-1,"0000"))</f>
        <v/>
      </c>
      <c r="B102" s="5"/>
      <c r="C102" s="5"/>
      <c r="D102" s="5"/>
      <c r="E102" s="7" t="str">
        <f aca="false">IF($C102="","",IF(OR($C102="Receiving",$C102="Stock Count Adjustment"),$D102,-$D102))</f>
        <v/>
      </c>
      <c r="F102" s="5"/>
      <c r="G102" s="5"/>
      <c r="H102" s="5"/>
      <c r="I102" s="5"/>
      <c r="J102" s="5"/>
    </row>
    <row r="103" customFormat="false" ht="15" hidden="false" customHeight="false" outlineLevel="0" collapsed="false">
      <c r="A103" s="7" t="str">
        <f aca="false">IF($C103="","","M"&amp;TEXT(ROW()-1,"0000"))</f>
        <v/>
      </c>
      <c r="B103" s="5"/>
      <c r="C103" s="5"/>
      <c r="D103" s="5"/>
      <c r="E103" s="7" t="str">
        <f aca="false">IF($C103="","",IF(OR($C103="Receiving",$C103="Stock Count Adjustment"),$D103,-$D103))</f>
        <v/>
      </c>
      <c r="F103" s="5"/>
      <c r="G103" s="5"/>
      <c r="H103" s="5"/>
      <c r="I103" s="5"/>
      <c r="J103" s="5"/>
    </row>
    <row r="104" customFormat="false" ht="15" hidden="false" customHeight="false" outlineLevel="0" collapsed="false">
      <c r="A104" s="7" t="str">
        <f aca="false">IF($C104="","","M"&amp;TEXT(ROW()-1,"0000"))</f>
        <v/>
      </c>
      <c r="B104" s="5"/>
      <c r="C104" s="5"/>
      <c r="D104" s="5"/>
      <c r="E104" s="7" t="str">
        <f aca="false">IF($C104="","",IF(OR($C104="Receiving",$C104="Stock Count Adjustment"),$D104,-$D104))</f>
        <v/>
      </c>
      <c r="F104" s="5"/>
      <c r="G104" s="5"/>
      <c r="H104" s="5"/>
      <c r="I104" s="5"/>
      <c r="J104" s="5"/>
    </row>
    <row r="105" customFormat="false" ht="15" hidden="false" customHeight="false" outlineLevel="0" collapsed="false">
      <c r="A105" s="7" t="str">
        <f aca="false">IF($C105="","","M"&amp;TEXT(ROW()-1,"0000"))</f>
        <v/>
      </c>
      <c r="B105" s="5"/>
      <c r="C105" s="5"/>
      <c r="D105" s="5"/>
      <c r="E105" s="7" t="str">
        <f aca="false">IF($C105="","",IF(OR($C105="Receiving",$C105="Stock Count Adjustment"),$D105,-$D105))</f>
        <v/>
      </c>
      <c r="F105" s="5"/>
      <c r="G105" s="5"/>
      <c r="H105" s="5"/>
      <c r="I105" s="5"/>
      <c r="J105" s="5"/>
    </row>
    <row r="106" customFormat="false" ht="15" hidden="false" customHeight="false" outlineLevel="0" collapsed="false">
      <c r="A106" s="7" t="str">
        <f aca="false">IF($C106="","","M"&amp;TEXT(ROW()-1,"0000"))</f>
        <v/>
      </c>
      <c r="B106" s="5"/>
      <c r="C106" s="5"/>
      <c r="D106" s="5"/>
      <c r="E106" s="7" t="str">
        <f aca="false">IF($C106="","",IF(OR($C106="Receiving",$C106="Stock Count Adjustment"),$D106,-$D106))</f>
        <v/>
      </c>
      <c r="F106" s="5"/>
      <c r="G106" s="5"/>
      <c r="H106" s="5"/>
      <c r="I106" s="5"/>
      <c r="J106" s="5"/>
    </row>
    <row r="107" customFormat="false" ht="15" hidden="false" customHeight="false" outlineLevel="0" collapsed="false">
      <c r="A107" s="7" t="str">
        <f aca="false">IF($C107="","","M"&amp;TEXT(ROW()-1,"0000"))</f>
        <v/>
      </c>
      <c r="B107" s="5"/>
      <c r="C107" s="5"/>
      <c r="D107" s="5"/>
      <c r="E107" s="7" t="str">
        <f aca="false">IF($C107="","",IF(OR($C107="Receiving",$C107="Stock Count Adjustment"),$D107,-$D107))</f>
        <v/>
      </c>
      <c r="F107" s="5"/>
      <c r="G107" s="5"/>
      <c r="H107" s="5"/>
      <c r="I107" s="5"/>
      <c r="J107" s="5"/>
    </row>
    <row r="108" customFormat="false" ht="15" hidden="false" customHeight="false" outlineLevel="0" collapsed="false">
      <c r="A108" s="7" t="str">
        <f aca="false">IF($C108="","","M"&amp;TEXT(ROW()-1,"0000"))</f>
        <v/>
      </c>
      <c r="B108" s="5"/>
      <c r="C108" s="5"/>
      <c r="D108" s="5"/>
      <c r="E108" s="7" t="str">
        <f aca="false">IF($C108="","",IF(OR($C108="Receiving",$C108="Stock Count Adjustment"),$D108,-$D108))</f>
        <v/>
      </c>
      <c r="F108" s="5"/>
      <c r="G108" s="5"/>
      <c r="H108" s="5"/>
      <c r="I108" s="5"/>
      <c r="J108" s="5"/>
    </row>
    <row r="109" customFormat="false" ht="15" hidden="false" customHeight="false" outlineLevel="0" collapsed="false">
      <c r="A109" s="7" t="str">
        <f aca="false">IF($C109="","","M"&amp;TEXT(ROW()-1,"0000"))</f>
        <v/>
      </c>
      <c r="B109" s="5"/>
      <c r="C109" s="5"/>
      <c r="D109" s="5"/>
      <c r="E109" s="7" t="str">
        <f aca="false">IF($C109="","",IF(OR($C109="Receiving",$C109="Stock Count Adjustment"),$D109,-$D109))</f>
        <v/>
      </c>
      <c r="F109" s="5"/>
      <c r="G109" s="5"/>
      <c r="H109" s="5"/>
      <c r="I109" s="5"/>
      <c r="J109" s="5"/>
    </row>
    <row r="110" customFormat="false" ht="15" hidden="false" customHeight="false" outlineLevel="0" collapsed="false">
      <c r="A110" s="7" t="str">
        <f aca="false">IF($C110="","","M"&amp;TEXT(ROW()-1,"0000"))</f>
        <v/>
      </c>
      <c r="B110" s="5"/>
      <c r="C110" s="5"/>
      <c r="D110" s="5"/>
      <c r="E110" s="7" t="str">
        <f aca="false">IF($C110="","",IF(OR($C110="Receiving",$C110="Stock Count Adjustment"),$D110,-$D110))</f>
        <v/>
      </c>
      <c r="F110" s="5"/>
      <c r="G110" s="5"/>
      <c r="H110" s="5"/>
      <c r="I110" s="5"/>
      <c r="J110" s="5"/>
    </row>
    <row r="111" customFormat="false" ht="15" hidden="false" customHeight="false" outlineLevel="0" collapsed="false">
      <c r="A111" s="7" t="str">
        <f aca="false">IF($C111="","","M"&amp;TEXT(ROW()-1,"0000"))</f>
        <v/>
      </c>
      <c r="B111" s="5"/>
      <c r="C111" s="5"/>
      <c r="D111" s="5"/>
      <c r="E111" s="7" t="str">
        <f aca="false">IF($C111="","",IF(OR($C111="Receiving",$C111="Stock Count Adjustment"),$D111,-$D111))</f>
        <v/>
      </c>
      <c r="F111" s="5"/>
      <c r="G111" s="5"/>
      <c r="H111" s="5"/>
      <c r="I111" s="5"/>
      <c r="J111" s="5"/>
    </row>
    <row r="112" customFormat="false" ht="15" hidden="false" customHeight="false" outlineLevel="0" collapsed="false">
      <c r="A112" s="7" t="str">
        <f aca="false">IF($C112="","","M"&amp;TEXT(ROW()-1,"0000"))</f>
        <v/>
      </c>
      <c r="B112" s="5"/>
      <c r="C112" s="5"/>
      <c r="D112" s="5"/>
      <c r="E112" s="7" t="str">
        <f aca="false">IF($C112="","",IF(OR($C112="Receiving",$C112="Stock Count Adjustment"),$D112,-$D112))</f>
        <v/>
      </c>
      <c r="F112" s="5"/>
      <c r="G112" s="5"/>
      <c r="H112" s="5"/>
      <c r="I112" s="5"/>
      <c r="J112" s="5"/>
    </row>
    <row r="113" customFormat="false" ht="15" hidden="false" customHeight="false" outlineLevel="0" collapsed="false">
      <c r="A113" s="7" t="str">
        <f aca="false">IF($C113="","","M"&amp;TEXT(ROW()-1,"0000"))</f>
        <v/>
      </c>
      <c r="B113" s="5"/>
      <c r="C113" s="5"/>
      <c r="D113" s="5"/>
      <c r="E113" s="7" t="str">
        <f aca="false">IF($C113="","",IF(OR($C113="Receiving",$C113="Stock Count Adjustment"),$D113,-$D113))</f>
        <v/>
      </c>
      <c r="F113" s="5"/>
      <c r="G113" s="5"/>
      <c r="H113" s="5"/>
      <c r="I113" s="5"/>
      <c r="J113" s="5"/>
    </row>
    <row r="114" customFormat="false" ht="15" hidden="false" customHeight="false" outlineLevel="0" collapsed="false">
      <c r="A114" s="7" t="str">
        <f aca="false">IF($C114="","","M"&amp;TEXT(ROW()-1,"0000"))</f>
        <v/>
      </c>
      <c r="B114" s="5"/>
      <c r="C114" s="5"/>
      <c r="D114" s="5"/>
      <c r="E114" s="7" t="str">
        <f aca="false">IF($C114="","",IF(OR($C114="Receiving",$C114="Stock Count Adjustment"),$D114,-$D114))</f>
        <v/>
      </c>
      <c r="F114" s="5"/>
      <c r="G114" s="5"/>
      <c r="H114" s="5"/>
      <c r="I114" s="5"/>
      <c r="J114" s="5"/>
    </row>
    <row r="115" customFormat="false" ht="15" hidden="false" customHeight="false" outlineLevel="0" collapsed="false">
      <c r="A115" s="7" t="str">
        <f aca="false">IF($C115="","","M"&amp;TEXT(ROW()-1,"0000"))</f>
        <v/>
      </c>
      <c r="B115" s="5"/>
      <c r="C115" s="5"/>
      <c r="D115" s="5"/>
      <c r="E115" s="7" t="str">
        <f aca="false">IF($C115="","",IF(OR($C115="Receiving",$C115="Stock Count Adjustment"),$D115,-$D115))</f>
        <v/>
      </c>
      <c r="F115" s="5"/>
      <c r="G115" s="5"/>
      <c r="H115" s="5"/>
      <c r="I115" s="5"/>
      <c r="J115" s="5"/>
    </row>
    <row r="116" customFormat="false" ht="15" hidden="false" customHeight="false" outlineLevel="0" collapsed="false">
      <c r="A116" s="7" t="str">
        <f aca="false">IF($C116="","","M"&amp;TEXT(ROW()-1,"0000"))</f>
        <v/>
      </c>
      <c r="B116" s="5"/>
      <c r="C116" s="5"/>
      <c r="D116" s="5"/>
      <c r="E116" s="7" t="str">
        <f aca="false">IF($C116="","",IF(OR($C116="Receiving",$C116="Stock Count Adjustment"),$D116,-$D116))</f>
        <v/>
      </c>
      <c r="F116" s="5"/>
      <c r="G116" s="5"/>
      <c r="H116" s="5"/>
      <c r="I116" s="5"/>
      <c r="J116" s="5"/>
    </row>
    <row r="117" customFormat="false" ht="15" hidden="false" customHeight="false" outlineLevel="0" collapsed="false">
      <c r="A117" s="7" t="str">
        <f aca="false">IF($C117="","","M"&amp;TEXT(ROW()-1,"0000"))</f>
        <v/>
      </c>
      <c r="B117" s="5"/>
      <c r="C117" s="5"/>
      <c r="D117" s="5"/>
      <c r="E117" s="7" t="str">
        <f aca="false">IF($C117="","",IF(OR($C117="Receiving",$C117="Stock Count Adjustment"),$D117,-$D117))</f>
        <v/>
      </c>
      <c r="F117" s="5"/>
      <c r="G117" s="5"/>
      <c r="H117" s="5"/>
      <c r="I117" s="5"/>
      <c r="J117" s="5"/>
    </row>
    <row r="118" customFormat="false" ht="15" hidden="false" customHeight="false" outlineLevel="0" collapsed="false">
      <c r="A118" s="7" t="str">
        <f aca="false">IF($C118="","","M"&amp;TEXT(ROW()-1,"0000"))</f>
        <v/>
      </c>
      <c r="B118" s="5"/>
      <c r="C118" s="5"/>
      <c r="D118" s="5"/>
      <c r="E118" s="7" t="str">
        <f aca="false">IF($C118="","",IF(OR($C118="Receiving",$C118="Stock Count Adjustment"),$D118,-$D118))</f>
        <v/>
      </c>
      <c r="F118" s="5"/>
      <c r="G118" s="5"/>
      <c r="H118" s="5"/>
      <c r="I118" s="5"/>
      <c r="J118" s="5"/>
    </row>
    <row r="119" customFormat="false" ht="15" hidden="false" customHeight="false" outlineLevel="0" collapsed="false">
      <c r="A119" s="7" t="str">
        <f aca="false">IF($C119="","","M"&amp;TEXT(ROW()-1,"0000"))</f>
        <v/>
      </c>
      <c r="B119" s="5"/>
      <c r="C119" s="5"/>
      <c r="D119" s="5"/>
      <c r="E119" s="7" t="str">
        <f aca="false">IF($C119="","",IF(OR($C119="Receiving",$C119="Stock Count Adjustment"),$D119,-$D119))</f>
        <v/>
      </c>
      <c r="F119" s="5"/>
      <c r="G119" s="5"/>
      <c r="H119" s="5"/>
      <c r="I119" s="5"/>
      <c r="J119" s="5"/>
    </row>
    <row r="120" customFormat="false" ht="15" hidden="false" customHeight="false" outlineLevel="0" collapsed="false">
      <c r="A120" s="7" t="str">
        <f aca="false">IF($C120="","","M"&amp;TEXT(ROW()-1,"0000"))</f>
        <v/>
      </c>
      <c r="B120" s="5"/>
      <c r="C120" s="5"/>
      <c r="D120" s="5"/>
      <c r="E120" s="7" t="str">
        <f aca="false">IF($C120="","",IF(OR($C120="Receiving",$C120="Stock Count Adjustment"),$D120,-$D120))</f>
        <v/>
      </c>
      <c r="F120" s="5"/>
      <c r="G120" s="5"/>
      <c r="H120" s="5"/>
      <c r="I120" s="5"/>
      <c r="J120" s="5"/>
    </row>
    <row r="121" customFormat="false" ht="15" hidden="false" customHeight="false" outlineLevel="0" collapsed="false">
      <c r="A121" s="7" t="str">
        <f aca="false">IF($C121="","","M"&amp;TEXT(ROW()-1,"0000"))</f>
        <v/>
      </c>
      <c r="B121" s="5"/>
      <c r="C121" s="5"/>
      <c r="D121" s="5"/>
      <c r="E121" s="7" t="str">
        <f aca="false">IF($C121="","",IF(OR($C121="Receiving",$C121="Stock Count Adjustment"),$D121,-$D121))</f>
        <v/>
      </c>
      <c r="F121" s="5"/>
      <c r="G121" s="5"/>
      <c r="H121" s="5"/>
      <c r="I121" s="5"/>
      <c r="J121" s="5"/>
    </row>
    <row r="122" customFormat="false" ht="15" hidden="false" customHeight="false" outlineLevel="0" collapsed="false">
      <c r="A122" s="7" t="str">
        <f aca="false">IF($C122="","","M"&amp;TEXT(ROW()-1,"0000"))</f>
        <v/>
      </c>
      <c r="B122" s="5"/>
      <c r="C122" s="5"/>
      <c r="D122" s="5"/>
      <c r="E122" s="7" t="str">
        <f aca="false">IF($C122="","",IF(OR($C122="Receiving",$C122="Stock Count Adjustment"),$D122,-$D122))</f>
        <v/>
      </c>
      <c r="F122" s="5"/>
      <c r="G122" s="5"/>
      <c r="H122" s="5"/>
      <c r="I122" s="5"/>
      <c r="J122" s="5"/>
    </row>
    <row r="123" customFormat="false" ht="15" hidden="false" customHeight="false" outlineLevel="0" collapsed="false">
      <c r="A123" s="7" t="str">
        <f aca="false">IF($C123="","","M"&amp;TEXT(ROW()-1,"0000"))</f>
        <v/>
      </c>
      <c r="B123" s="5"/>
      <c r="C123" s="5"/>
      <c r="D123" s="5"/>
      <c r="E123" s="7" t="str">
        <f aca="false">IF($C123="","",IF(OR($C123="Receiving",$C123="Stock Count Adjustment"),$D123,-$D123))</f>
        <v/>
      </c>
      <c r="F123" s="5"/>
      <c r="G123" s="5"/>
      <c r="H123" s="5"/>
      <c r="I123" s="5"/>
      <c r="J123" s="5"/>
    </row>
    <row r="124" customFormat="false" ht="15" hidden="false" customHeight="false" outlineLevel="0" collapsed="false">
      <c r="A124" s="7" t="str">
        <f aca="false">IF($C124="","","M"&amp;TEXT(ROW()-1,"0000"))</f>
        <v/>
      </c>
      <c r="B124" s="5"/>
      <c r="C124" s="5"/>
      <c r="D124" s="5"/>
      <c r="E124" s="7" t="str">
        <f aca="false">IF($C124="","",IF(OR($C124="Receiving",$C124="Stock Count Adjustment"),$D124,-$D124))</f>
        <v/>
      </c>
      <c r="F124" s="5"/>
      <c r="G124" s="5"/>
      <c r="H124" s="5"/>
      <c r="I124" s="5"/>
      <c r="J124" s="5"/>
    </row>
    <row r="125" customFormat="false" ht="15" hidden="false" customHeight="false" outlineLevel="0" collapsed="false">
      <c r="A125" s="7" t="str">
        <f aca="false">IF($C125="","","M"&amp;TEXT(ROW()-1,"0000"))</f>
        <v/>
      </c>
      <c r="B125" s="5"/>
      <c r="C125" s="5"/>
      <c r="D125" s="5"/>
      <c r="E125" s="7" t="str">
        <f aca="false">IF($C125="","",IF(OR($C125="Receiving",$C125="Stock Count Adjustment"),$D125,-$D125))</f>
        <v/>
      </c>
      <c r="F125" s="5"/>
      <c r="G125" s="5"/>
      <c r="H125" s="5"/>
      <c r="I125" s="5"/>
      <c r="J125" s="5"/>
    </row>
    <row r="126" customFormat="false" ht="15" hidden="false" customHeight="false" outlineLevel="0" collapsed="false">
      <c r="A126" s="7" t="str">
        <f aca="false">IF($C126="","","M"&amp;TEXT(ROW()-1,"0000"))</f>
        <v/>
      </c>
      <c r="B126" s="5"/>
      <c r="C126" s="5"/>
      <c r="D126" s="5"/>
      <c r="E126" s="7" t="str">
        <f aca="false">IF($C126="","",IF(OR($C126="Receiving",$C126="Stock Count Adjustment"),$D126,-$D126))</f>
        <v/>
      </c>
      <c r="F126" s="5"/>
      <c r="G126" s="5"/>
      <c r="H126" s="5"/>
      <c r="I126" s="5"/>
      <c r="J126" s="5"/>
    </row>
    <row r="127" customFormat="false" ht="15" hidden="false" customHeight="false" outlineLevel="0" collapsed="false">
      <c r="A127" s="7" t="str">
        <f aca="false">IF($C127="","","M"&amp;TEXT(ROW()-1,"0000"))</f>
        <v/>
      </c>
      <c r="B127" s="5"/>
      <c r="C127" s="5"/>
      <c r="D127" s="5"/>
      <c r="E127" s="7" t="str">
        <f aca="false">IF($C127="","",IF(OR($C127="Receiving",$C127="Stock Count Adjustment"),$D127,-$D127))</f>
        <v/>
      </c>
      <c r="F127" s="5"/>
      <c r="G127" s="5"/>
      <c r="H127" s="5"/>
      <c r="I127" s="5"/>
      <c r="J127" s="5"/>
    </row>
    <row r="128" customFormat="false" ht="15" hidden="false" customHeight="false" outlineLevel="0" collapsed="false">
      <c r="A128" s="7" t="str">
        <f aca="false">IF($C128="","","M"&amp;TEXT(ROW()-1,"0000"))</f>
        <v/>
      </c>
      <c r="B128" s="5"/>
      <c r="C128" s="5"/>
      <c r="D128" s="5"/>
      <c r="E128" s="7" t="str">
        <f aca="false">IF($C128="","",IF(OR($C128="Receiving",$C128="Stock Count Adjustment"),$D128,-$D128))</f>
        <v/>
      </c>
      <c r="F128" s="5"/>
      <c r="G128" s="5"/>
      <c r="H128" s="5"/>
      <c r="I128" s="5"/>
      <c r="J128" s="5"/>
    </row>
    <row r="129" customFormat="false" ht="15" hidden="false" customHeight="false" outlineLevel="0" collapsed="false">
      <c r="A129" s="7" t="str">
        <f aca="false">IF($C129="","","M"&amp;TEXT(ROW()-1,"0000"))</f>
        <v/>
      </c>
      <c r="B129" s="5"/>
      <c r="C129" s="5"/>
      <c r="D129" s="5"/>
      <c r="E129" s="7" t="str">
        <f aca="false">IF($C129="","",IF(OR($C129="Receiving",$C129="Stock Count Adjustment"),$D129,-$D129))</f>
        <v/>
      </c>
      <c r="F129" s="5"/>
      <c r="G129" s="5"/>
      <c r="H129" s="5"/>
      <c r="I129" s="5"/>
      <c r="J129" s="5"/>
    </row>
    <row r="130" customFormat="false" ht="15" hidden="false" customHeight="false" outlineLevel="0" collapsed="false">
      <c r="A130" s="7" t="str">
        <f aca="false">IF($C130="","","M"&amp;TEXT(ROW()-1,"0000"))</f>
        <v/>
      </c>
      <c r="B130" s="5"/>
      <c r="C130" s="5"/>
      <c r="D130" s="5"/>
      <c r="E130" s="7" t="str">
        <f aca="false">IF($C130="","",IF(OR($C130="Receiving",$C130="Stock Count Adjustment"),$D130,-$D130))</f>
        <v/>
      </c>
      <c r="F130" s="5"/>
      <c r="G130" s="5"/>
      <c r="H130" s="5"/>
      <c r="I130" s="5"/>
      <c r="J130" s="5"/>
    </row>
    <row r="131" customFormat="false" ht="15" hidden="false" customHeight="false" outlineLevel="0" collapsed="false">
      <c r="A131" s="7" t="str">
        <f aca="false">IF($C131="","","M"&amp;TEXT(ROW()-1,"0000"))</f>
        <v/>
      </c>
      <c r="B131" s="5"/>
      <c r="C131" s="5"/>
      <c r="D131" s="5"/>
      <c r="E131" s="7" t="str">
        <f aca="false">IF($C131="","",IF(OR($C131="Receiving",$C131="Stock Count Adjustment"),$D131,-$D131))</f>
        <v/>
      </c>
      <c r="F131" s="5"/>
      <c r="G131" s="5"/>
      <c r="H131" s="5"/>
      <c r="I131" s="5"/>
      <c r="J131" s="5"/>
    </row>
    <row r="132" customFormat="false" ht="15" hidden="false" customHeight="false" outlineLevel="0" collapsed="false">
      <c r="A132" s="7" t="str">
        <f aca="false">IF($C132="","","M"&amp;TEXT(ROW()-1,"0000"))</f>
        <v/>
      </c>
      <c r="B132" s="5"/>
      <c r="C132" s="5"/>
      <c r="D132" s="5"/>
      <c r="E132" s="7" t="str">
        <f aca="false">IF($C132="","",IF(OR($C132="Receiving",$C132="Stock Count Adjustment"),$D132,-$D132))</f>
        <v/>
      </c>
      <c r="F132" s="5"/>
      <c r="G132" s="5"/>
      <c r="H132" s="5"/>
      <c r="I132" s="5"/>
      <c r="J132" s="5"/>
    </row>
    <row r="133" customFormat="false" ht="15" hidden="false" customHeight="false" outlineLevel="0" collapsed="false">
      <c r="A133" s="7" t="str">
        <f aca="false">IF($C133="","","M"&amp;TEXT(ROW()-1,"0000"))</f>
        <v/>
      </c>
      <c r="B133" s="5"/>
      <c r="C133" s="5"/>
      <c r="D133" s="5"/>
      <c r="E133" s="7" t="str">
        <f aca="false">IF($C133="","",IF(OR($C133="Receiving",$C133="Stock Count Adjustment"),$D133,-$D133))</f>
        <v/>
      </c>
      <c r="F133" s="5"/>
      <c r="G133" s="5"/>
      <c r="H133" s="5"/>
      <c r="I133" s="5"/>
      <c r="J133" s="5"/>
    </row>
    <row r="134" customFormat="false" ht="15" hidden="false" customHeight="false" outlineLevel="0" collapsed="false">
      <c r="A134" s="7" t="str">
        <f aca="false">IF($C134="","","M"&amp;TEXT(ROW()-1,"0000"))</f>
        <v/>
      </c>
      <c r="B134" s="5"/>
      <c r="C134" s="5"/>
      <c r="D134" s="5"/>
      <c r="E134" s="7" t="str">
        <f aca="false">IF($C134="","",IF(OR($C134="Receiving",$C134="Stock Count Adjustment"),$D134,-$D134))</f>
        <v/>
      </c>
      <c r="F134" s="5"/>
      <c r="G134" s="5"/>
      <c r="H134" s="5"/>
      <c r="I134" s="5"/>
      <c r="J134" s="5"/>
    </row>
    <row r="135" customFormat="false" ht="15" hidden="false" customHeight="false" outlineLevel="0" collapsed="false">
      <c r="A135" s="7" t="str">
        <f aca="false">IF($C135="","","M"&amp;TEXT(ROW()-1,"0000"))</f>
        <v/>
      </c>
      <c r="B135" s="5"/>
      <c r="C135" s="5"/>
      <c r="D135" s="5"/>
      <c r="E135" s="7" t="str">
        <f aca="false">IF($C135="","",IF(OR($C135="Receiving",$C135="Stock Count Adjustment"),$D135,-$D135))</f>
        <v/>
      </c>
      <c r="F135" s="5"/>
      <c r="G135" s="5"/>
      <c r="H135" s="5"/>
      <c r="I135" s="5"/>
      <c r="J135" s="5"/>
    </row>
    <row r="136" customFormat="false" ht="15" hidden="false" customHeight="false" outlineLevel="0" collapsed="false">
      <c r="A136" s="7" t="str">
        <f aca="false">IF($C136="","","M"&amp;TEXT(ROW()-1,"0000"))</f>
        <v/>
      </c>
      <c r="B136" s="5"/>
      <c r="C136" s="5"/>
      <c r="D136" s="5"/>
      <c r="E136" s="7" t="str">
        <f aca="false">IF($C136="","",IF(OR($C136="Receiving",$C136="Stock Count Adjustment"),$D136,-$D136))</f>
        <v/>
      </c>
      <c r="F136" s="5"/>
      <c r="G136" s="5"/>
      <c r="H136" s="5"/>
      <c r="I136" s="5"/>
      <c r="J136" s="5"/>
    </row>
    <row r="137" customFormat="false" ht="15" hidden="false" customHeight="false" outlineLevel="0" collapsed="false">
      <c r="A137" s="7" t="str">
        <f aca="false">IF($C137="","","M"&amp;TEXT(ROW()-1,"0000"))</f>
        <v/>
      </c>
      <c r="B137" s="5"/>
      <c r="C137" s="5"/>
      <c r="D137" s="5"/>
      <c r="E137" s="7" t="str">
        <f aca="false">IF($C137="","",IF(OR($C137="Receiving",$C137="Stock Count Adjustment"),$D137,-$D137))</f>
        <v/>
      </c>
      <c r="F137" s="5"/>
      <c r="G137" s="5"/>
      <c r="H137" s="5"/>
      <c r="I137" s="5"/>
      <c r="J137" s="5"/>
    </row>
    <row r="138" customFormat="false" ht="15" hidden="false" customHeight="false" outlineLevel="0" collapsed="false">
      <c r="A138" s="7" t="str">
        <f aca="false">IF($C138="","","M"&amp;TEXT(ROW()-1,"0000"))</f>
        <v/>
      </c>
      <c r="B138" s="5"/>
      <c r="C138" s="5"/>
      <c r="D138" s="5"/>
      <c r="E138" s="7" t="str">
        <f aca="false">IF($C138="","",IF(OR($C138="Receiving",$C138="Stock Count Adjustment"),$D138,-$D138))</f>
        <v/>
      </c>
      <c r="F138" s="5"/>
      <c r="G138" s="5"/>
      <c r="H138" s="5"/>
      <c r="I138" s="5"/>
      <c r="J138" s="5"/>
    </row>
    <row r="139" customFormat="false" ht="15" hidden="false" customHeight="false" outlineLevel="0" collapsed="false">
      <c r="A139" s="7" t="str">
        <f aca="false">IF($C139="","","M"&amp;TEXT(ROW()-1,"0000"))</f>
        <v/>
      </c>
      <c r="B139" s="5"/>
      <c r="C139" s="5"/>
      <c r="D139" s="5"/>
      <c r="E139" s="7" t="str">
        <f aca="false">IF($C139="","",IF(OR($C139="Receiving",$C139="Stock Count Adjustment"),$D139,-$D139))</f>
        <v/>
      </c>
      <c r="F139" s="5"/>
      <c r="G139" s="5"/>
      <c r="H139" s="5"/>
      <c r="I139" s="5"/>
      <c r="J139" s="5"/>
    </row>
    <row r="140" customFormat="false" ht="15" hidden="false" customHeight="false" outlineLevel="0" collapsed="false">
      <c r="A140" s="7" t="str">
        <f aca="false">IF($C140="","","M"&amp;TEXT(ROW()-1,"0000"))</f>
        <v/>
      </c>
      <c r="B140" s="5"/>
      <c r="C140" s="5"/>
      <c r="D140" s="5"/>
      <c r="E140" s="7" t="str">
        <f aca="false">IF($C140="","",IF(OR($C140="Receiving",$C140="Stock Count Adjustment"),$D140,-$D140))</f>
        <v/>
      </c>
      <c r="F140" s="5"/>
      <c r="G140" s="5"/>
      <c r="H140" s="5"/>
      <c r="I140" s="5"/>
      <c r="J140" s="5"/>
    </row>
    <row r="141" customFormat="false" ht="15" hidden="false" customHeight="false" outlineLevel="0" collapsed="false">
      <c r="A141" s="7" t="str">
        <f aca="false">IF($C141="","","M"&amp;TEXT(ROW()-1,"0000"))</f>
        <v/>
      </c>
      <c r="B141" s="5"/>
      <c r="C141" s="5"/>
      <c r="D141" s="5"/>
      <c r="E141" s="7" t="str">
        <f aca="false">IF($C141="","",IF(OR($C141="Receiving",$C141="Stock Count Adjustment"),$D141,-$D141))</f>
        <v/>
      </c>
      <c r="F141" s="5"/>
      <c r="G141" s="5"/>
      <c r="H141" s="5"/>
      <c r="I141" s="5"/>
      <c r="J141" s="5"/>
    </row>
    <row r="142" customFormat="false" ht="15" hidden="false" customHeight="false" outlineLevel="0" collapsed="false">
      <c r="A142" s="7" t="str">
        <f aca="false">IF($C142="","","M"&amp;TEXT(ROW()-1,"0000"))</f>
        <v/>
      </c>
      <c r="B142" s="5"/>
      <c r="C142" s="5"/>
      <c r="D142" s="5"/>
      <c r="E142" s="7" t="str">
        <f aca="false">IF($C142="","",IF(OR($C142="Receiving",$C142="Stock Count Adjustment"),$D142,-$D142))</f>
        <v/>
      </c>
      <c r="F142" s="5"/>
      <c r="G142" s="5"/>
      <c r="H142" s="5"/>
      <c r="I142" s="5"/>
      <c r="J142" s="5"/>
    </row>
    <row r="143" customFormat="false" ht="15" hidden="false" customHeight="false" outlineLevel="0" collapsed="false">
      <c r="A143" s="7" t="str">
        <f aca="false">IF($C143="","","M"&amp;TEXT(ROW()-1,"0000"))</f>
        <v/>
      </c>
      <c r="B143" s="5"/>
      <c r="C143" s="5"/>
      <c r="D143" s="5"/>
      <c r="E143" s="7" t="str">
        <f aca="false">IF($C143="","",IF(OR($C143="Receiving",$C143="Stock Count Adjustment"),$D143,-$D143))</f>
        <v/>
      </c>
      <c r="F143" s="5"/>
      <c r="G143" s="5"/>
      <c r="H143" s="5"/>
      <c r="I143" s="5"/>
      <c r="J143" s="5"/>
    </row>
    <row r="144" customFormat="false" ht="15" hidden="false" customHeight="false" outlineLevel="0" collapsed="false">
      <c r="A144" s="7" t="str">
        <f aca="false">IF($C144="","","M"&amp;TEXT(ROW()-1,"0000"))</f>
        <v/>
      </c>
      <c r="B144" s="5"/>
      <c r="C144" s="5"/>
      <c r="D144" s="5"/>
      <c r="E144" s="7" t="str">
        <f aca="false">IF($C144="","",IF(OR($C144="Receiving",$C144="Stock Count Adjustment"),$D144,-$D144))</f>
        <v/>
      </c>
      <c r="F144" s="5"/>
      <c r="G144" s="5"/>
      <c r="H144" s="5"/>
      <c r="I144" s="5"/>
      <c r="J144" s="5"/>
    </row>
    <row r="145" customFormat="false" ht="15" hidden="false" customHeight="false" outlineLevel="0" collapsed="false">
      <c r="A145" s="7" t="str">
        <f aca="false">IF($C145="","","M"&amp;TEXT(ROW()-1,"0000"))</f>
        <v/>
      </c>
      <c r="B145" s="5"/>
      <c r="C145" s="5"/>
      <c r="D145" s="5"/>
      <c r="E145" s="7" t="str">
        <f aca="false">IF($C145="","",IF(OR($C145="Receiving",$C145="Stock Count Adjustment"),$D145,-$D145))</f>
        <v/>
      </c>
      <c r="F145" s="5"/>
      <c r="G145" s="5"/>
      <c r="H145" s="5"/>
      <c r="I145" s="5"/>
      <c r="J145" s="5"/>
    </row>
    <row r="146" customFormat="false" ht="15" hidden="false" customHeight="false" outlineLevel="0" collapsed="false">
      <c r="A146" s="7" t="str">
        <f aca="false">IF($C146="","","M"&amp;TEXT(ROW()-1,"0000"))</f>
        <v/>
      </c>
      <c r="B146" s="5"/>
      <c r="C146" s="5"/>
      <c r="D146" s="5"/>
      <c r="E146" s="7" t="str">
        <f aca="false">IF($C146="","",IF(OR($C146="Receiving",$C146="Stock Count Adjustment"),$D146,-$D146))</f>
        <v/>
      </c>
      <c r="F146" s="5"/>
      <c r="G146" s="5"/>
      <c r="H146" s="5"/>
      <c r="I146" s="5"/>
      <c r="J146" s="5"/>
    </row>
    <row r="147" customFormat="false" ht="15" hidden="false" customHeight="false" outlineLevel="0" collapsed="false">
      <c r="A147" s="7" t="str">
        <f aca="false">IF($C147="","","M"&amp;TEXT(ROW()-1,"0000"))</f>
        <v/>
      </c>
      <c r="B147" s="5"/>
      <c r="C147" s="5"/>
      <c r="D147" s="5"/>
      <c r="E147" s="7" t="str">
        <f aca="false">IF($C147="","",IF(OR($C147="Receiving",$C147="Stock Count Adjustment"),$D147,-$D147))</f>
        <v/>
      </c>
      <c r="F147" s="5"/>
      <c r="G147" s="5"/>
      <c r="H147" s="5"/>
      <c r="I147" s="5"/>
      <c r="J147" s="5"/>
    </row>
    <row r="148" customFormat="false" ht="15" hidden="false" customHeight="false" outlineLevel="0" collapsed="false">
      <c r="A148" s="7" t="str">
        <f aca="false">IF($C148="","","M"&amp;TEXT(ROW()-1,"0000"))</f>
        <v/>
      </c>
      <c r="B148" s="5"/>
      <c r="C148" s="5"/>
      <c r="D148" s="5"/>
      <c r="E148" s="7" t="str">
        <f aca="false">IF($C148="","",IF(OR($C148="Receiving",$C148="Stock Count Adjustment"),$D148,-$D148))</f>
        <v/>
      </c>
      <c r="F148" s="5"/>
      <c r="G148" s="5"/>
      <c r="H148" s="5"/>
      <c r="I148" s="5"/>
      <c r="J148" s="5"/>
    </row>
    <row r="149" customFormat="false" ht="15" hidden="false" customHeight="false" outlineLevel="0" collapsed="false">
      <c r="A149" s="7" t="str">
        <f aca="false">IF($C149="","","M"&amp;TEXT(ROW()-1,"0000"))</f>
        <v/>
      </c>
      <c r="B149" s="5"/>
      <c r="C149" s="5"/>
      <c r="D149" s="5"/>
      <c r="E149" s="7" t="str">
        <f aca="false">IF($C149="","",IF(OR($C149="Receiving",$C149="Stock Count Adjustment"),$D149,-$D149))</f>
        <v/>
      </c>
      <c r="F149" s="5"/>
      <c r="G149" s="5"/>
      <c r="H149" s="5"/>
      <c r="I149" s="5"/>
      <c r="J149" s="5"/>
    </row>
    <row r="150" customFormat="false" ht="15" hidden="false" customHeight="false" outlineLevel="0" collapsed="false">
      <c r="A150" s="7" t="str">
        <f aca="false">IF($C150="","","M"&amp;TEXT(ROW()-1,"0000"))</f>
        <v/>
      </c>
      <c r="B150" s="5"/>
      <c r="C150" s="5"/>
      <c r="D150" s="5"/>
      <c r="E150" s="7" t="str">
        <f aca="false">IF($C150="","",IF(OR($C150="Receiving",$C150="Stock Count Adjustment"),$D150,-$D150))</f>
        <v/>
      </c>
      <c r="F150" s="5"/>
      <c r="G150" s="5"/>
      <c r="H150" s="5"/>
      <c r="I150" s="5"/>
      <c r="J150" s="5"/>
    </row>
    <row r="151" customFormat="false" ht="15" hidden="false" customHeight="false" outlineLevel="0" collapsed="false">
      <c r="A151" s="7" t="str">
        <f aca="false">IF($C151="","","M"&amp;TEXT(ROW()-1,"0000"))</f>
        <v/>
      </c>
      <c r="B151" s="5"/>
      <c r="C151" s="5"/>
      <c r="D151" s="5"/>
      <c r="E151" s="7" t="str">
        <f aca="false">IF($C151="","",IF(OR($C151="Receiving",$C151="Stock Count Adjustment"),$D151,-$D151))</f>
        <v/>
      </c>
      <c r="F151" s="5"/>
      <c r="G151" s="5"/>
      <c r="H151" s="5"/>
      <c r="I151" s="5"/>
      <c r="J151" s="5"/>
    </row>
    <row r="152" customFormat="false" ht="15" hidden="false" customHeight="false" outlineLevel="0" collapsed="false">
      <c r="A152" s="7" t="str">
        <f aca="false">IF($C152="","","M"&amp;TEXT(ROW()-1,"0000"))</f>
        <v/>
      </c>
      <c r="B152" s="5"/>
      <c r="C152" s="5"/>
      <c r="D152" s="5"/>
      <c r="E152" s="7" t="str">
        <f aca="false">IF($C152="","",IF(OR($C152="Receiving",$C152="Stock Count Adjustment"),$D152,-$D152))</f>
        <v/>
      </c>
      <c r="F152" s="5"/>
      <c r="G152" s="5"/>
      <c r="H152" s="5"/>
      <c r="I152" s="5"/>
      <c r="J152" s="5"/>
    </row>
    <row r="153" customFormat="false" ht="15" hidden="false" customHeight="false" outlineLevel="0" collapsed="false">
      <c r="A153" s="7" t="str">
        <f aca="false">IF($C153="","","M"&amp;TEXT(ROW()-1,"0000"))</f>
        <v/>
      </c>
      <c r="B153" s="5"/>
      <c r="C153" s="5"/>
      <c r="D153" s="5"/>
      <c r="E153" s="7" t="str">
        <f aca="false">IF($C153="","",IF(OR($C153="Receiving",$C153="Stock Count Adjustment"),$D153,-$D153))</f>
        <v/>
      </c>
      <c r="F153" s="5"/>
      <c r="G153" s="5"/>
      <c r="H153" s="5"/>
      <c r="I153" s="5"/>
      <c r="J153" s="5"/>
    </row>
    <row r="154" customFormat="false" ht="15" hidden="false" customHeight="false" outlineLevel="0" collapsed="false">
      <c r="A154" s="7" t="str">
        <f aca="false">IF($C154="","","M"&amp;TEXT(ROW()-1,"0000"))</f>
        <v/>
      </c>
      <c r="B154" s="5"/>
      <c r="C154" s="5"/>
      <c r="D154" s="5"/>
      <c r="E154" s="7" t="str">
        <f aca="false">IF($C154="","",IF(OR($C154="Receiving",$C154="Stock Count Adjustment"),$D154,-$D154))</f>
        <v/>
      </c>
      <c r="F154" s="5"/>
      <c r="G154" s="5"/>
      <c r="H154" s="5"/>
      <c r="I154" s="5"/>
      <c r="J154" s="5"/>
    </row>
    <row r="155" customFormat="false" ht="15" hidden="false" customHeight="false" outlineLevel="0" collapsed="false">
      <c r="A155" s="7" t="str">
        <f aca="false">IF($C155="","","M"&amp;TEXT(ROW()-1,"0000"))</f>
        <v/>
      </c>
      <c r="B155" s="5"/>
      <c r="C155" s="5"/>
      <c r="D155" s="5"/>
      <c r="E155" s="7" t="str">
        <f aca="false">IF($C155="","",IF(OR($C155="Receiving",$C155="Stock Count Adjustment"),$D155,-$D155))</f>
        <v/>
      </c>
      <c r="F155" s="5"/>
      <c r="G155" s="5"/>
      <c r="H155" s="5"/>
      <c r="I155" s="5"/>
      <c r="J155" s="5"/>
    </row>
    <row r="156" customFormat="false" ht="15" hidden="false" customHeight="false" outlineLevel="0" collapsed="false">
      <c r="A156" s="7" t="str">
        <f aca="false">IF($C156="","","M"&amp;TEXT(ROW()-1,"0000"))</f>
        <v/>
      </c>
      <c r="B156" s="5"/>
      <c r="C156" s="5"/>
      <c r="D156" s="5"/>
      <c r="E156" s="7" t="str">
        <f aca="false">IF($C156="","",IF(OR($C156="Receiving",$C156="Stock Count Adjustment"),$D156,-$D156))</f>
        <v/>
      </c>
      <c r="F156" s="5"/>
      <c r="G156" s="5"/>
      <c r="H156" s="5"/>
      <c r="I156" s="5"/>
      <c r="J156" s="5"/>
    </row>
    <row r="157" customFormat="false" ht="15" hidden="false" customHeight="false" outlineLevel="0" collapsed="false">
      <c r="A157" s="7" t="str">
        <f aca="false">IF($C157="","","M"&amp;TEXT(ROW()-1,"0000"))</f>
        <v/>
      </c>
      <c r="B157" s="5"/>
      <c r="C157" s="5"/>
      <c r="D157" s="5"/>
      <c r="E157" s="7" t="str">
        <f aca="false">IF($C157="","",IF(OR($C157="Receiving",$C157="Stock Count Adjustment"),$D157,-$D157))</f>
        <v/>
      </c>
      <c r="F157" s="5"/>
      <c r="G157" s="5"/>
      <c r="H157" s="5"/>
      <c r="I157" s="5"/>
      <c r="J157" s="5"/>
    </row>
    <row r="158" customFormat="false" ht="15" hidden="false" customHeight="false" outlineLevel="0" collapsed="false">
      <c r="A158" s="7" t="str">
        <f aca="false">IF($C158="","","M"&amp;TEXT(ROW()-1,"0000"))</f>
        <v/>
      </c>
      <c r="B158" s="5"/>
      <c r="C158" s="5"/>
      <c r="D158" s="5"/>
      <c r="E158" s="7" t="str">
        <f aca="false">IF($C158="","",IF(OR($C158="Receiving",$C158="Stock Count Adjustment"),$D158,-$D158))</f>
        <v/>
      </c>
      <c r="F158" s="5"/>
      <c r="G158" s="5"/>
      <c r="H158" s="5"/>
      <c r="I158" s="5"/>
      <c r="J158" s="5"/>
    </row>
    <row r="159" customFormat="false" ht="15" hidden="false" customHeight="false" outlineLevel="0" collapsed="false">
      <c r="A159" s="7" t="str">
        <f aca="false">IF($C159="","","M"&amp;TEXT(ROW()-1,"0000"))</f>
        <v/>
      </c>
      <c r="B159" s="5"/>
      <c r="C159" s="5"/>
      <c r="D159" s="5"/>
      <c r="E159" s="7" t="str">
        <f aca="false">IF($C159="","",IF(OR($C159="Receiving",$C159="Stock Count Adjustment"),$D159,-$D159))</f>
        <v/>
      </c>
      <c r="F159" s="5"/>
      <c r="G159" s="5"/>
      <c r="H159" s="5"/>
      <c r="I159" s="5"/>
      <c r="J159" s="5"/>
    </row>
    <row r="160" customFormat="false" ht="15" hidden="false" customHeight="false" outlineLevel="0" collapsed="false">
      <c r="A160" s="7" t="str">
        <f aca="false">IF($C160="","","M"&amp;TEXT(ROW()-1,"0000"))</f>
        <v/>
      </c>
      <c r="B160" s="5"/>
      <c r="C160" s="5"/>
      <c r="D160" s="5"/>
      <c r="E160" s="7" t="str">
        <f aca="false">IF($C160="","",IF(OR($C160="Receiving",$C160="Stock Count Adjustment"),$D160,-$D160))</f>
        <v/>
      </c>
      <c r="F160" s="5"/>
      <c r="G160" s="5"/>
      <c r="H160" s="5"/>
      <c r="I160" s="5"/>
      <c r="J160" s="5"/>
    </row>
    <row r="161" customFormat="false" ht="15" hidden="false" customHeight="false" outlineLevel="0" collapsed="false">
      <c r="A161" s="7" t="str">
        <f aca="false">IF($C161="","","M"&amp;TEXT(ROW()-1,"0000"))</f>
        <v/>
      </c>
      <c r="B161" s="5"/>
      <c r="C161" s="5"/>
      <c r="D161" s="5"/>
      <c r="E161" s="7" t="str">
        <f aca="false">IF($C161="","",IF(OR($C161="Receiving",$C161="Stock Count Adjustment"),$D161,-$D161))</f>
        <v/>
      </c>
      <c r="F161" s="5"/>
      <c r="G161" s="5"/>
      <c r="H161" s="5"/>
      <c r="I161" s="5"/>
      <c r="J161" s="5"/>
    </row>
    <row r="162" customFormat="false" ht="15" hidden="false" customHeight="false" outlineLevel="0" collapsed="false">
      <c r="A162" s="7" t="str">
        <f aca="false">IF($C162="","","M"&amp;TEXT(ROW()-1,"0000"))</f>
        <v/>
      </c>
      <c r="B162" s="5"/>
      <c r="C162" s="5"/>
      <c r="D162" s="5"/>
      <c r="E162" s="7" t="str">
        <f aca="false">IF($C162="","",IF(OR($C162="Receiving",$C162="Stock Count Adjustment"),$D162,-$D162))</f>
        <v/>
      </c>
      <c r="F162" s="5"/>
      <c r="G162" s="5"/>
      <c r="H162" s="5"/>
      <c r="I162" s="5"/>
      <c r="J162" s="5"/>
    </row>
    <row r="163" customFormat="false" ht="15" hidden="false" customHeight="false" outlineLevel="0" collapsed="false">
      <c r="A163" s="7" t="str">
        <f aca="false">IF($C163="","","M"&amp;TEXT(ROW()-1,"0000"))</f>
        <v/>
      </c>
      <c r="B163" s="5"/>
      <c r="C163" s="5"/>
      <c r="D163" s="5"/>
      <c r="E163" s="7" t="str">
        <f aca="false">IF($C163="","",IF(OR($C163="Receiving",$C163="Stock Count Adjustment"),$D163,-$D163))</f>
        <v/>
      </c>
      <c r="F163" s="5"/>
      <c r="G163" s="5"/>
      <c r="H163" s="5"/>
      <c r="I163" s="5"/>
      <c r="J163" s="5"/>
    </row>
    <row r="164" customFormat="false" ht="15" hidden="false" customHeight="false" outlineLevel="0" collapsed="false">
      <c r="A164" s="7" t="str">
        <f aca="false">IF($C164="","","M"&amp;TEXT(ROW()-1,"0000"))</f>
        <v/>
      </c>
      <c r="B164" s="5"/>
      <c r="C164" s="5"/>
      <c r="D164" s="5"/>
      <c r="E164" s="7" t="str">
        <f aca="false">IF($C164="","",IF(OR($C164="Receiving",$C164="Stock Count Adjustment"),$D164,-$D164))</f>
        <v/>
      </c>
      <c r="F164" s="5"/>
      <c r="G164" s="5"/>
      <c r="H164" s="5"/>
      <c r="I164" s="5"/>
      <c r="J164" s="5"/>
    </row>
    <row r="165" customFormat="false" ht="15" hidden="false" customHeight="false" outlineLevel="0" collapsed="false">
      <c r="A165" s="7" t="str">
        <f aca="false">IF($C165="","","M"&amp;TEXT(ROW()-1,"0000"))</f>
        <v/>
      </c>
      <c r="B165" s="5"/>
      <c r="C165" s="5"/>
      <c r="D165" s="5"/>
      <c r="E165" s="7" t="str">
        <f aca="false">IF($C165="","",IF(OR($C165="Receiving",$C165="Stock Count Adjustment"),$D165,-$D165))</f>
        <v/>
      </c>
      <c r="F165" s="5"/>
      <c r="G165" s="5"/>
      <c r="H165" s="5"/>
      <c r="I165" s="5"/>
      <c r="J165" s="5"/>
    </row>
    <row r="166" customFormat="false" ht="15" hidden="false" customHeight="false" outlineLevel="0" collapsed="false">
      <c r="A166" s="7" t="str">
        <f aca="false">IF($C166="","","M"&amp;TEXT(ROW()-1,"0000"))</f>
        <v/>
      </c>
      <c r="B166" s="5"/>
      <c r="C166" s="5"/>
      <c r="D166" s="5"/>
      <c r="E166" s="7" t="str">
        <f aca="false">IF($C166="","",IF(OR($C166="Receiving",$C166="Stock Count Adjustment"),$D166,-$D166))</f>
        <v/>
      </c>
      <c r="F166" s="5"/>
      <c r="G166" s="5"/>
      <c r="H166" s="5"/>
      <c r="I166" s="5"/>
      <c r="J166" s="5"/>
    </row>
    <row r="167" customFormat="false" ht="15" hidden="false" customHeight="false" outlineLevel="0" collapsed="false">
      <c r="A167" s="7" t="str">
        <f aca="false">IF($C167="","","M"&amp;TEXT(ROW()-1,"0000"))</f>
        <v/>
      </c>
      <c r="B167" s="5"/>
      <c r="C167" s="5"/>
      <c r="D167" s="5"/>
      <c r="E167" s="7" t="str">
        <f aca="false">IF($C167="","",IF(OR($C167="Receiving",$C167="Stock Count Adjustment"),$D167,-$D167))</f>
        <v/>
      </c>
      <c r="F167" s="5"/>
      <c r="G167" s="5"/>
      <c r="H167" s="5"/>
      <c r="I167" s="5"/>
      <c r="J167" s="5"/>
    </row>
    <row r="168" customFormat="false" ht="15" hidden="false" customHeight="false" outlineLevel="0" collapsed="false">
      <c r="A168" s="7" t="str">
        <f aca="false">IF($C168="","","M"&amp;TEXT(ROW()-1,"0000"))</f>
        <v/>
      </c>
      <c r="B168" s="5"/>
      <c r="C168" s="5"/>
      <c r="D168" s="5"/>
      <c r="E168" s="7" t="str">
        <f aca="false">IF($C168="","",IF(OR($C168="Receiving",$C168="Stock Count Adjustment"),$D168,-$D168))</f>
        <v/>
      </c>
      <c r="F168" s="5"/>
      <c r="G168" s="5"/>
      <c r="H168" s="5"/>
      <c r="I168" s="5"/>
      <c r="J168" s="5"/>
    </row>
    <row r="169" customFormat="false" ht="15" hidden="false" customHeight="false" outlineLevel="0" collapsed="false">
      <c r="A169" s="7" t="str">
        <f aca="false">IF($C169="","","M"&amp;TEXT(ROW()-1,"0000"))</f>
        <v/>
      </c>
      <c r="B169" s="5"/>
      <c r="C169" s="5"/>
      <c r="D169" s="5"/>
      <c r="E169" s="7" t="str">
        <f aca="false">IF($C169="","",IF(OR($C169="Receiving",$C169="Stock Count Adjustment"),$D169,-$D169))</f>
        <v/>
      </c>
      <c r="F169" s="5"/>
      <c r="G169" s="5"/>
      <c r="H169" s="5"/>
      <c r="I169" s="5"/>
      <c r="J169" s="5"/>
    </row>
    <row r="170" customFormat="false" ht="15" hidden="false" customHeight="false" outlineLevel="0" collapsed="false">
      <c r="A170" s="7" t="str">
        <f aca="false">IF($C170="","","M"&amp;TEXT(ROW()-1,"0000"))</f>
        <v/>
      </c>
      <c r="B170" s="5"/>
      <c r="C170" s="5"/>
      <c r="D170" s="5"/>
      <c r="E170" s="7" t="str">
        <f aca="false">IF($C170="","",IF(OR($C170="Receiving",$C170="Stock Count Adjustment"),$D170,-$D170))</f>
        <v/>
      </c>
      <c r="F170" s="5"/>
      <c r="G170" s="5"/>
      <c r="H170" s="5"/>
      <c r="I170" s="5"/>
      <c r="J170" s="5"/>
    </row>
    <row r="171" customFormat="false" ht="15" hidden="false" customHeight="false" outlineLevel="0" collapsed="false">
      <c r="A171" s="7" t="str">
        <f aca="false">IF($C171="","","M"&amp;TEXT(ROW()-1,"0000"))</f>
        <v/>
      </c>
      <c r="B171" s="5"/>
      <c r="C171" s="5"/>
      <c r="D171" s="5"/>
      <c r="E171" s="7" t="str">
        <f aca="false">IF($C171="","",IF(OR($C171="Receiving",$C171="Stock Count Adjustment"),$D171,-$D171))</f>
        <v/>
      </c>
      <c r="F171" s="5"/>
      <c r="G171" s="5"/>
      <c r="H171" s="5"/>
      <c r="I171" s="5"/>
      <c r="J171" s="5"/>
    </row>
    <row r="172" customFormat="false" ht="15" hidden="false" customHeight="false" outlineLevel="0" collapsed="false">
      <c r="A172" s="7" t="str">
        <f aca="false">IF($C172="","","M"&amp;TEXT(ROW()-1,"0000"))</f>
        <v/>
      </c>
      <c r="B172" s="5"/>
      <c r="C172" s="5"/>
      <c r="D172" s="5"/>
      <c r="E172" s="7" t="str">
        <f aca="false">IF($C172="","",IF(OR($C172="Receiving",$C172="Stock Count Adjustment"),$D172,-$D172))</f>
        <v/>
      </c>
      <c r="F172" s="5"/>
      <c r="G172" s="5"/>
      <c r="H172" s="5"/>
      <c r="I172" s="5"/>
      <c r="J172" s="5"/>
    </row>
    <row r="173" customFormat="false" ht="15" hidden="false" customHeight="false" outlineLevel="0" collapsed="false">
      <c r="A173" s="7" t="str">
        <f aca="false">IF($C173="","","M"&amp;TEXT(ROW()-1,"0000"))</f>
        <v/>
      </c>
      <c r="B173" s="5"/>
      <c r="C173" s="5"/>
      <c r="D173" s="5"/>
      <c r="E173" s="7" t="str">
        <f aca="false">IF($C173="","",IF(OR($C173="Receiving",$C173="Stock Count Adjustment"),$D173,-$D173))</f>
        <v/>
      </c>
      <c r="F173" s="5"/>
      <c r="G173" s="5"/>
      <c r="H173" s="5"/>
      <c r="I173" s="5"/>
      <c r="J173" s="5"/>
    </row>
    <row r="174" customFormat="false" ht="15" hidden="false" customHeight="false" outlineLevel="0" collapsed="false">
      <c r="A174" s="7" t="str">
        <f aca="false">IF($C174="","","M"&amp;TEXT(ROW()-1,"0000"))</f>
        <v/>
      </c>
      <c r="B174" s="5"/>
      <c r="C174" s="5"/>
      <c r="D174" s="5"/>
      <c r="E174" s="7" t="str">
        <f aca="false">IF($C174="","",IF(OR($C174="Receiving",$C174="Stock Count Adjustment"),$D174,-$D174))</f>
        <v/>
      </c>
      <c r="F174" s="5"/>
      <c r="G174" s="5"/>
      <c r="H174" s="5"/>
      <c r="I174" s="5"/>
      <c r="J174" s="5"/>
    </row>
    <row r="175" customFormat="false" ht="15" hidden="false" customHeight="false" outlineLevel="0" collapsed="false">
      <c r="A175" s="7" t="str">
        <f aca="false">IF($C175="","","M"&amp;TEXT(ROW()-1,"0000"))</f>
        <v/>
      </c>
      <c r="B175" s="5"/>
      <c r="C175" s="5"/>
      <c r="D175" s="5"/>
      <c r="E175" s="7" t="str">
        <f aca="false">IF($C175="","",IF(OR($C175="Receiving",$C175="Stock Count Adjustment"),$D175,-$D175))</f>
        <v/>
      </c>
      <c r="F175" s="5"/>
      <c r="G175" s="5"/>
      <c r="H175" s="5"/>
      <c r="I175" s="5"/>
      <c r="J175" s="5"/>
    </row>
    <row r="176" customFormat="false" ht="15" hidden="false" customHeight="false" outlineLevel="0" collapsed="false">
      <c r="A176" s="7" t="str">
        <f aca="false">IF($C176="","","M"&amp;TEXT(ROW()-1,"0000"))</f>
        <v/>
      </c>
      <c r="B176" s="5"/>
      <c r="C176" s="5"/>
      <c r="D176" s="5"/>
      <c r="E176" s="7" t="str">
        <f aca="false">IF($C176="","",IF(OR($C176="Receiving",$C176="Stock Count Adjustment"),$D176,-$D176))</f>
        <v/>
      </c>
      <c r="F176" s="5"/>
      <c r="G176" s="5"/>
      <c r="H176" s="5"/>
      <c r="I176" s="5"/>
      <c r="J176" s="5"/>
    </row>
    <row r="177" customFormat="false" ht="15" hidden="false" customHeight="false" outlineLevel="0" collapsed="false">
      <c r="A177" s="7" t="str">
        <f aca="false">IF($C177="","","M"&amp;TEXT(ROW()-1,"0000"))</f>
        <v/>
      </c>
      <c r="B177" s="5"/>
      <c r="C177" s="5"/>
      <c r="D177" s="5"/>
      <c r="E177" s="7" t="str">
        <f aca="false">IF($C177="","",IF(OR($C177="Receiving",$C177="Stock Count Adjustment"),$D177,-$D177))</f>
        <v/>
      </c>
      <c r="F177" s="5"/>
      <c r="G177" s="5"/>
      <c r="H177" s="5"/>
      <c r="I177" s="5"/>
      <c r="J177" s="5"/>
    </row>
    <row r="178" customFormat="false" ht="15" hidden="false" customHeight="false" outlineLevel="0" collapsed="false">
      <c r="A178" s="7" t="str">
        <f aca="false">IF($C178="","","M"&amp;TEXT(ROW()-1,"0000"))</f>
        <v/>
      </c>
      <c r="B178" s="5"/>
      <c r="C178" s="5"/>
      <c r="D178" s="5"/>
      <c r="E178" s="7" t="str">
        <f aca="false">IF($C178="","",IF(OR($C178="Receiving",$C178="Stock Count Adjustment"),$D178,-$D178))</f>
        <v/>
      </c>
      <c r="F178" s="5"/>
      <c r="G178" s="5"/>
      <c r="H178" s="5"/>
      <c r="I178" s="5"/>
      <c r="J178" s="5"/>
    </row>
    <row r="179" customFormat="false" ht="15" hidden="false" customHeight="false" outlineLevel="0" collapsed="false">
      <c r="A179" s="7" t="str">
        <f aca="false">IF($C179="","","M"&amp;TEXT(ROW()-1,"0000"))</f>
        <v/>
      </c>
      <c r="B179" s="5"/>
      <c r="C179" s="5"/>
      <c r="D179" s="5"/>
      <c r="E179" s="7" t="str">
        <f aca="false">IF($C179="","",IF(OR($C179="Receiving",$C179="Stock Count Adjustment"),$D179,-$D179))</f>
        <v/>
      </c>
      <c r="F179" s="5"/>
      <c r="G179" s="5"/>
      <c r="H179" s="5"/>
      <c r="I179" s="5"/>
      <c r="J179" s="5"/>
    </row>
    <row r="180" customFormat="false" ht="15" hidden="false" customHeight="false" outlineLevel="0" collapsed="false">
      <c r="A180" s="7" t="str">
        <f aca="false">IF($C180="","","M"&amp;TEXT(ROW()-1,"0000"))</f>
        <v/>
      </c>
      <c r="B180" s="5"/>
      <c r="C180" s="5"/>
      <c r="D180" s="5"/>
      <c r="E180" s="7" t="str">
        <f aca="false">IF($C180="","",IF(OR($C180="Receiving",$C180="Stock Count Adjustment"),$D180,-$D180))</f>
        <v/>
      </c>
      <c r="F180" s="5"/>
      <c r="G180" s="5"/>
      <c r="H180" s="5"/>
      <c r="I180" s="5"/>
      <c r="J180" s="5"/>
    </row>
    <row r="181" customFormat="false" ht="15" hidden="false" customHeight="false" outlineLevel="0" collapsed="false">
      <c r="A181" s="7" t="str">
        <f aca="false">IF($C181="","","M"&amp;TEXT(ROW()-1,"0000"))</f>
        <v/>
      </c>
      <c r="B181" s="5"/>
      <c r="C181" s="5"/>
      <c r="D181" s="5"/>
      <c r="E181" s="7" t="str">
        <f aca="false">IF($C181="","",IF(OR($C181="Receiving",$C181="Stock Count Adjustment"),$D181,-$D181))</f>
        <v/>
      </c>
      <c r="F181" s="5"/>
      <c r="G181" s="5"/>
      <c r="H181" s="5"/>
      <c r="I181" s="5"/>
      <c r="J181" s="5"/>
    </row>
    <row r="182" customFormat="false" ht="15" hidden="false" customHeight="false" outlineLevel="0" collapsed="false">
      <c r="A182" s="7" t="str">
        <f aca="false">IF($C182="","","M"&amp;TEXT(ROW()-1,"0000"))</f>
        <v/>
      </c>
      <c r="B182" s="5"/>
      <c r="C182" s="5"/>
      <c r="D182" s="5"/>
      <c r="E182" s="7" t="str">
        <f aca="false">IF($C182="","",IF(OR($C182="Receiving",$C182="Stock Count Adjustment"),$D182,-$D182))</f>
        <v/>
      </c>
      <c r="F182" s="5"/>
      <c r="G182" s="5"/>
      <c r="H182" s="5"/>
      <c r="I182" s="5"/>
      <c r="J182" s="5"/>
    </row>
    <row r="183" customFormat="false" ht="15" hidden="false" customHeight="false" outlineLevel="0" collapsed="false">
      <c r="A183" s="7" t="str">
        <f aca="false">IF($C183="","","M"&amp;TEXT(ROW()-1,"0000"))</f>
        <v/>
      </c>
      <c r="B183" s="5"/>
      <c r="C183" s="5"/>
      <c r="D183" s="5"/>
      <c r="E183" s="7" t="str">
        <f aca="false">IF($C183="","",IF(OR($C183="Receiving",$C183="Stock Count Adjustment"),$D183,-$D183))</f>
        <v/>
      </c>
      <c r="F183" s="5"/>
      <c r="G183" s="5"/>
      <c r="H183" s="5"/>
      <c r="I183" s="5"/>
      <c r="J183" s="5"/>
    </row>
    <row r="184" customFormat="false" ht="15" hidden="false" customHeight="false" outlineLevel="0" collapsed="false">
      <c r="A184" s="7" t="str">
        <f aca="false">IF($C184="","","M"&amp;TEXT(ROW()-1,"0000"))</f>
        <v/>
      </c>
      <c r="B184" s="5"/>
      <c r="C184" s="5"/>
      <c r="D184" s="5"/>
      <c r="E184" s="7" t="str">
        <f aca="false">IF($C184="","",IF(OR($C184="Receiving",$C184="Stock Count Adjustment"),$D184,-$D184))</f>
        <v/>
      </c>
      <c r="F184" s="5"/>
      <c r="G184" s="5"/>
      <c r="H184" s="5"/>
      <c r="I184" s="5"/>
      <c r="J184" s="5"/>
    </row>
    <row r="185" customFormat="false" ht="15" hidden="false" customHeight="false" outlineLevel="0" collapsed="false">
      <c r="A185" s="7" t="str">
        <f aca="false">IF($C185="","","M"&amp;TEXT(ROW()-1,"0000"))</f>
        <v/>
      </c>
      <c r="B185" s="5"/>
      <c r="C185" s="5"/>
      <c r="D185" s="5"/>
      <c r="E185" s="7" t="str">
        <f aca="false">IF($C185="","",IF(OR($C185="Receiving",$C185="Stock Count Adjustment"),$D185,-$D185))</f>
        <v/>
      </c>
      <c r="F185" s="5"/>
      <c r="G185" s="5"/>
      <c r="H185" s="5"/>
      <c r="I185" s="5"/>
      <c r="J185" s="5"/>
    </row>
    <row r="186" customFormat="false" ht="15" hidden="false" customHeight="false" outlineLevel="0" collapsed="false">
      <c r="A186" s="7" t="str">
        <f aca="false">IF($C186="","","M"&amp;TEXT(ROW()-1,"0000"))</f>
        <v/>
      </c>
      <c r="B186" s="5"/>
      <c r="C186" s="5"/>
      <c r="D186" s="5"/>
      <c r="E186" s="7" t="str">
        <f aca="false">IF($C186="","",IF(OR($C186="Receiving",$C186="Stock Count Adjustment"),$D186,-$D186))</f>
        <v/>
      </c>
      <c r="F186" s="5"/>
      <c r="G186" s="5"/>
      <c r="H186" s="5"/>
      <c r="I186" s="5"/>
      <c r="J186" s="5"/>
    </row>
    <row r="187" customFormat="false" ht="15" hidden="false" customHeight="false" outlineLevel="0" collapsed="false">
      <c r="A187" s="7" t="str">
        <f aca="false">IF($C187="","","M"&amp;TEXT(ROW()-1,"0000"))</f>
        <v/>
      </c>
      <c r="B187" s="5"/>
      <c r="C187" s="5"/>
      <c r="D187" s="5"/>
      <c r="E187" s="7" t="str">
        <f aca="false">IF($C187="","",IF(OR($C187="Receiving",$C187="Stock Count Adjustment"),$D187,-$D187))</f>
        <v/>
      </c>
      <c r="F187" s="5"/>
      <c r="G187" s="5"/>
      <c r="H187" s="5"/>
      <c r="I187" s="5"/>
      <c r="J187" s="5"/>
    </row>
    <row r="188" customFormat="false" ht="15" hidden="false" customHeight="false" outlineLevel="0" collapsed="false">
      <c r="A188" s="7" t="str">
        <f aca="false">IF($C188="","","M"&amp;TEXT(ROW()-1,"0000"))</f>
        <v/>
      </c>
      <c r="B188" s="5"/>
      <c r="C188" s="5"/>
      <c r="D188" s="5"/>
      <c r="E188" s="7" t="str">
        <f aca="false">IF($C188="","",IF(OR($C188="Receiving",$C188="Stock Count Adjustment"),$D188,-$D188))</f>
        <v/>
      </c>
      <c r="F188" s="5"/>
      <c r="G188" s="5"/>
      <c r="H188" s="5"/>
      <c r="I188" s="5"/>
      <c r="J188" s="5"/>
    </row>
    <row r="189" customFormat="false" ht="15" hidden="false" customHeight="false" outlineLevel="0" collapsed="false">
      <c r="A189" s="7" t="str">
        <f aca="false">IF($C189="","","M"&amp;TEXT(ROW()-1,"0000"))</f>
        <v/>
      </c>
      <c r="B189" s="5"/>
      <c r="C189" s="5"/>
      <c r="D189" s="5"/>
      <c r="E189" s="7" t="str">
        <f aca="false">IF($C189="","",IF(OR($C189="Receiving",$C189="Stock Count Adjustment"),$D189,-$D189))</f>
        <v/>
      </c>
      <c r="F189" s="5"/>
      <c r="G189" s="5"/>
      <c r="H189" s="5"/>
      <c r="I189" s="5"/>
      <c r="J189" s="5"/>
    </row>
    <row r="190" customFormat="false" ht="15" hidden="false" customHeight="false" outlineLevel="0" collapsed="false">
      <c r="A190" s="7" t="str">
        <f aca="false">IF($C190="","","M"&amp;TEXT(ROW()-1,"0000"))</f>
        <v/>
      </c>
      <c r="B190" s="5"/>
      <c r="C190" s="5"/>
      <c r="D190" s="5"/>
      <c r="E190" s="7" t="str">
        <f aca="false">IF($C190="","",IF(OR($C190="Receiving",$C190="Stock Count Adjustment"),$D190,-$D190))</f>
        <v/>
      </c>
      <c r="F190" s="5"/>
      <c r="G190" s="5"/>
      <c r="H190" s="5"/>
      <c r="I190" s="5"/>
      <c r="J190" s="5"/>
    </row>
    <row r="191" customFormat="false" ht="15" hidden="false" customHeight="false" outlineLevel="0" collapsed="false">
      <c r="A191" s="7" t="str">
        <f aca="false">IF($C191="","","M"&amp;TEXT(ROW()-1,"0000"))</f>
        <v/>
      </c>
      <c r="B191" s="5"/>
      <c r="C191" s="5"/>
      <c r="D191" s="5"/>
      <c r="E191" s="7" t="str">
        <f aca="false">IF($C191="","",IF(OR($C191="Receiving",$C191="Stock Count Adjustment"),$D191,-$D191))</f>
        <v/>
      </c>
      <c r="F191" s="5"/>
      <c r="G191" s="5"/>
      <c r="H191" s="5"/>
      <c r="I191" s="5"/>
      <c r="J191" s="5"/>
    </row>
    <row r="192" customFormat="false" ht="15" hidden="false" customHeight="false" outlineLevel="0" collapsed="false">
      <c r="A192" s="7" t="str">
        <f aca="false">IF($C192="","","M"&amp;TEXT(ROW()-1,"0000"))</f>
        <v/>
      </c>
      <c r="B192" s="5"/>
      <c r="C192" s="5"/>
      <c r="D192" s="5"/>
      <c r="E192" s="7" t="str">
        <f aca="false">IF($C192="","",IF(OR($C192="Receiving",$C192="Stock Count Adjustment"),$D192,-$D192))</f>
        <v/>
      </c>
      <c r="F192" s="5"/>
      <c r="G192" s="5"/>
      <c r="H192" s="5"/>
      <c r="I192" s="5"/>
      <c r="J192" s="5"/>
    </row>
    <row r="193" customFormat="false" ht="15" hidden="false" customHeight="false" outlineLevel="0" collapsed="false">
      <c r="A193" s="7" t="str">
        <f aca="false">IF($C193="","","M"&amp;TEXT(ROW()-1,"0000"))</f>
        <v/>
      </c>
      <c r="B193" s="5"/>
      <c r="C193" s="5"/>
      <c r="D193" s="5"/>
      <c r="E193" s="7" t="str">
        <f aca="false">IF($C193="","",IF(OR($C193="Receiving",$C193="Stock Count Adjustment"),$D193,-$D193))</f>
        <v/>
      </c>
      <c r="F193" s="5"/>
      <c r="G193" s="5"/>
      <c r="H193" s="5"/>
      <c r="I193" s="5"/>
      <c r="J193" s="5"/>
    </row>
    <row r="194" customFormat="false" ht="15" hidden="false" customHeight="false" outlineLevel="0" collapsed="false">
      <c r="A194" s="7" t="str">
        <f aca="false">IF($C194="","","M"&amp;TEXT(ROW()-1,"0000"))</f>
        <v/>
      </c>
      <c r="B194" s="5"/>
      <c r="C194" s="5"/>
      <c r="D194" s="5"/>
      <c r="E194" s="7" t="str">
        <f aca="false">IF($C194="","",IF(OR($C194="Receiving",$C194="Stock Count Adjustment"),$D194,-$D194))</f>
        <v/>
      </c>
      <c r="F194" s="5"/>
      <c r="G194" s="5"/>
      <c r="H194" s="5"/>
      <c r="I194" s="5"/>
      <c r="J194" s="5"/>
    </row>
    <row r="195" customFormat="false" ht="15" hidden="false" customHeight="false" outlineLevel="0" collapsed="false">
      <c r="A195" s="7" t="str">
        <f aca="false">IF($C195="","","M"&amp;TEXT(ROW()-1,"0000"))</f>
        <v/>
      </c>
      <c r="B195" s="5"/>
      <c r="C195" s="5"/>
      <c r="D195" s="5"/>
      <c r="E195" s="7" t="str">
        <f aca="false">IF($C195="","",IF(OR($C195="Receiving",$C195="Stock Count Adjustment"),$D195,-$D195))</f>
        <v/>
      </c>
      <c r="F195" s="5"/>
      <c r="G195" s="5"/>
      <c r="H195" s="5"/>
      <c r="I195" s="5"/>
      <c r="J195" s="5"/>
    </row>
    <row r="196" customFormat="false" ht="15" hidden="false" customHeight="false" outlineLevel="0" collapsed="false">
      <c r="A196" s="7" t="str">
        <f aca="false">IF($C196="","","M"&amp;TEXT(ROW()-1,"0000"))</f>
        <v/>
      </c>
      <c r="B196" s="5"/>
      <c r="C196" s="5"/>
      <c r="D196" s="5"/>
      <c r="E196" s="7" t="str">
        <f aca="false">IF($C196="","",IF(OR($C196="Receiving",$C196="Stock Count Adjustment"),$D196,-$D196))</f>
        <v/>
      </c>
      <c r="F196" s="5"/>
      <c r="G196" s="5"/>
      <c r="H196" s="5"/>
      <c r="I196" s="5"/>
      <c r="J196" s="5"/>
    </row>
    <row r="197" customFormat="false" ht="15" hidden="false" customHeight="false" outlineLevel="0" collapsed="false">
      <c r="A197" s="7" t="str">
        <f aca="false">IF($C197="","","M"&amp;TEXT(ROW()-1,"0000"))</f>
        <v/>
      </c>
      <c r="B197" s="5"/>
      <c r="C197" s="5"/>
      <c r="D197" s="5"/>
      <c r="E197" s="7" t="str">
        <f aca="false">IF($C197="","",IF(OR($C197="Receiving",$C197="Stock Count Adjustment"),$D197,-$D197))</f>
        <v/>
      </c>
      <c r="F197" s="5"/>
      <c r="G197" s="5"/>
      <c r="H197" s="5"/>
      <c r="I197" s="5"/>
      <c r="J197" s="5"/>
    </row>
    <row r="198" customFormat="false" ht="15" hidden="false" customHeight="false" outlineLevel="0" collapsed="false">
      <c r="A198" s="7" t="str">
        <f aca="false">IF($C198="","","M"&amp;TEXT(ROW()-1,"0000"))</f>
        <v/>
      </c>
      <c r="B198" s="5"/>
      <c r="C198" s="5"/>
      <c r="D198" s="5"/>
      <c r="E198" s="7" t="str">
        <f aca="false">IF($C198="","",IF(OR($C198="Receiving",$C198="Stock Count Adjustment"),$D198,-$D198))</f>
        <v/>
      </c>
      <c r="F198" s="5"/>
      <c r="G198" s="5"/>
      <c r="H198" s="5"/>
      <c r="I198" s="5"/>
      <c r="J198" s="5"/>
    </row>
    <row r="199" customFormat="false" ht="15" hidden="false" customHeight="false" outlineLevel="0" collapsed="false">
      <c r="A199" s="7" t="str">
        <f aca="false">IF($C199="","","M"&amp;TEXT(ROW()-1,"0000"))</f>
        <v/>
      </c>
      <c r="B199" s="5"/>
      <c r="C199" s="5"/>
      <c r="D199" s="5"/>
      <c r="E199" s="7" t="str">
        <f aca="false">IF($C199="","",IF(OR($C199="Receiving",$C199="Stock Count Adjustment"),$D199,-$D199))</f>
        <v/>
      </c>
      <c r="F199" s="5"/>
      <c r="G199" s="5"/>
      <c r="H199" s="5"/>
      <c r="I199" s="5"/>
      <c r="J199" s="5"/>
    </row>
    <row r="200" customFormat="false" ht="15" hidden="false" customHeight="false" outlineLevel="0" collapsed="false">
      <c r="A200" s="7" t="str">
        <f aca="false">IF($C200="","","M"&amp;TEXT(ROW()-1,"0000"))</f>
        <v/>
      </c>
      <c r="B200" s="5"/>
      <c r="C200" s="5"/>
      <c r="D200" s="5"/>
      <c r="E200" s="7" t="str">
        <f aca="false">IF($C200="","",IF(OR($C200="Receiving",$C200="Stock Count Adjustment"),$D200,-$D200))</f>
        <v/>
      </c>
      <c r="F200" s="5"/>
      <c r="G200" s="5"/>
      <c r="H200" s="5"/>
      <c r="I200" s="5"/>
      <c r="J200" s="5"/>
    </row>
    <row r="201" customFormat="false" ht="15" hidden="false" customHeight="false" outlineLevel="0" collapsed="false">
      <c r="A201" s="7" t="str">
        <f aca="false">IF($C201="","","M"&amp;TEXT(ROW()-1,"0000"))</f>
        <v/>
      </c>
      <c r="B201" s="5"/>
      <c r="C201" s="5"/>
      <c r="D201" s="5"/>
      <c r="E201" s="7" t="str">
        <f aca="false">IF($C201="","",IF(OR($C201="Receiving",$C201="Stock Count Adjustment"),$D201,-$D201))</f>
        <v/>
      </c>
      <c r="F201" s="5"/>
      <c r="G201" s="5"/>
      <c r="H201" s="5"/>
      <c r="I201" s="5"/>
      <c r="J201" s="5"/>
    </row>
    <row r="202" customFormat="false" ht="15" hidden="false" customHeight="false" outlineLevel="0" collapsed="false">
      <c r="A202" s="7" t="str">
        <f aca="false">IF($C202="","","M"&amp;TEXT(ROW()-1,"0000"))</f>
        <v/>
      </c>
      <c r="B202" s="5"/>
      <c r="C202" s="5"/>
      <c r="D202" s="5"/>
      <c r="E202" s="7" t="str">
        <f aca="false">IF($C202="","",IF(OR($C202="Receiving",$C202="Stock Count Adjustment"),$D202,-$D202))</f>
        <v/>
      </c>
      <c r="F202" s="5"/>
      <c r="G202" s="5"/>
      <c r="H202" s="5"/>
      <c r="I202" s="5"/>
      <c r="J202" s="5"/>
    </row>
    <row r="203" customFormat="false" ht="15" hidden="false" customHeight="false" outlineLevel="0" collapsed="false">
      <c r="A203" s="7" t="str">
        <f aca="false">IF($C203="","","M"&amp;TEXT(ROW()-1,"0000"))</f>
        <v/>
      </c>
      <c r="B203" s="5"/>
      <c r="C203" s="5"/>
      <c r="D203" s="5"/>
      <c r="E203" s="7" t="str">
        <f aca="false">IF($C203="","",IF(OR($C203="Receiving",$C203="Stock Count Adjustment"),$D203,-$D203))</f>
        <v/>
      </c>
      <c r="F203" s="5"/>
      <c r="G203" s="5"/>
      <c r="H203" s="5"/>
      <c r="I203" s="5"/>
      <c r="J203" s="5"/>
    </row>
    <row r="204" customFormat="false" ht="15" hidden="false" customHeight="false" outlineLevel="0" collapsed="false">
      <c r="A204" s="7" t="str">
        <f aca="false">IF($C204="","","M"&amp;TEXT(ROW()-1,"0000"))</f>
        <v/>
      </c>
      <c r="B204" s="5"/>
      <c r="C204" s="5"/>
      <c r="D204" s="5"/>
      <c r="E204" s="7" t="str">
        <f aca="false">IF($C204="","",IF(OR($C204="Receiving",$C204="Stock Count Adjustment"),$D204,-$D204))</f>
        <v/>
      </c>
      <c r="F204" s="5"/>
      <c r="G204" s="5"/>
      <c r="H204" s="5"/>
      <c r="I204" s="5"/>
      <c r="J204" s="5"/>
    </row>
    <row r="205" customFormat="false" ht="15" hidden="false" customHeight="false" outlineLevel="0" collapsed="false">
      <c r="A205" s="7" t="str">
        <f aca="false">IF($C205="","","M"&amp;TEXT(ROW()-1,"0000"))</f>
        <v/>
      </c>
      <c r="B205" s="5"/>
      <c r="C205" s="5"/>
      <c r="D205" s="5"/>
      <c r="E205" s="7" t="str">
        <f aca="false">IF($C205="","",IF(OR($C205="Receiving",$C205="Stock Count Adjustment"),$D205,-$D205))</f>
        <v/>
      </c>
      <c r="F205" s="5"/>
      <c r="G205" s="5"/>
      <c r="H205" s="5"/>
      <c r="I205" s="5"/>
      <c r="J205" s="5"/>
    </row>
    <row r="206" customFormat="false" ht="15" hidden="false" customHeight="false" outlineLevel="0" collapsed="false">
      <c r="A206" s="7" t="str">
        <f aca="false">IF($C206="","","M"&amp;TEXT(ROW()-1,"0000"))</f>
        <v/>
      </c>
      <c r="B206" s="5"/>
      <c r="C206" s="5"/>
      <c r="D206" s="5"/>
      <c r="E206" s="7" t="str">
        <f aca="false">IF($C206="","",IF(OR($C206="Receiving",$C206="Stock Count Adjustment"),$D206,-$D206))</f>
        <v/>
      </c>
      <c r="F206" s="5"/>
      <c r="G206" s="5"/>
      <c r="H206" s="5"/>
      <c r="I206" s="5"/>
      <c r="J206" s="5"/>
    </row>
    <row r="207" customFormat="false" ht="15" hidden="false" customHeight="false" outlineLevel="0" collapsed="false">
      <c r="A207" s="7" t="str">
        <f aca="false">IF($C207="","","M"&amp;TEXT(ROW()-1,"0000"))</f>
        <v/>
      </c>
      <c r="B207" s="5"/>
      <c r="C207" s="5"/>
      <c r="D207" s="5"/>
      <c r="E207" s="7" t="str">
        <f aca="false">IF($C207="","",IF(OR($C207="Receiving",$C207="Stock Count Adjustment"),$D207,-$D207))</f>
        <v/>
      </c>
      <c r="F207" s="5"/>
      <c r="G207" s="5"/>
      <c r="H207" s="5"/>
      <c r="I207" s="5"/>
      <c r="J207" s="5"/>
    </row>
    <row r="208" customFormat="false" ht="15" hidden="false" customHeight="false" outlineLevel="0" collapsed="false">
      <c r="A208" s="7" t="str">
        <f aca="false">IF($C208="","","M"&amp;TEXT(ROW()-1,"0000"))</f>
        <v/>
      </c>
      <c r="B208" s="5"/>
      <c r="C208" s="5"/>
      <c r="D208" s="5"/>
      <c r="E208" s="7" t="str">
        <f aca="false">IF($C208="","",IF(OR($C208="Receiving",$C208="Stock Count Adjustment"),$D208,-$D208))</f>
        <v/>
      </c>
      <c r="F208" s="5"/>
      <c r="G208" s="5"/>
      <c r="H208" s="5"/>
      <c r="I208" s="5"/>
      <c r="J208" s="5"/>
    </row>
    <row r="209" customFormat="false" ht="15" hidden="false" customHeight="false" outlineLevel="0" collapsed="false">
      <c r="A209" s="7" t="str">
        <f aca="false">IF($C209="","","M"&amp;TEXT(ROW()-1,"0000"))</f>
        <v/>
      </c>
      <c r="B209" s="5"/>
      <c r="C209" s="5"/>
      <c r="D209" s="5"/>
      <c r="E209" s="7" t="str">
        <f aca="false">IF($C209="","",IF(OR($C209="Receiving",$C209="Stock Count Adjustment"),$D209,-$D209))</f>
        <v/>
      </c>
      <c r="F209" s="5"/>
      <c r="G209" s="5"/>
      <c r="H209" s="5"/>
      <c r="I209" s="5"/>
      <c r="J209" s="5"/>
    </row>
    <row r="210" customFormat="false" ht="15" hidden="false" customHeight="false" outlineLevel="0" collapsed="false">
      <c r="A210" s="7" t="str">
        <f aca="false">IF($C210="","","M"&amp;TEXT(ROW()-1,"0000"))</f>
        <v/>
      </c>
      <c r="B210" s="5"/>
      <c r="C210" s="5"/>
      <c r="D210" s="5"/>
      <c r="E210" s="7" t="str">
        <f aca="false">IF($C210="","",IF(OR($C210="Receiving",$C210="Stock Count Adjustment"),$D210,-$D210))</f>
        <v/>
      </c>
      <c r="F210" s="5"/>
      <c r="G210" s="5"/>
      <c r="H210" s="5"/>
      <c r="I210" s="5"/>
      <c r="J210" s="5"/>
    </row>
    <row r="211" customFormat="false" ht="15" hidden="false" customHeight="false" outlineLevel="0" collapsed="false">
      <c r="A211" s="7" t="str">
        <f aca="false">IF($C211="","","M"&amp;TEXT(ROW()-1,"0000"))</f>
        <v/>
      </c>
      <c r="B211" s="5"/>
      <c r="C211" s="5"/>
      <c r="D211" s="5"/>
      <c r="E211" s="7" t="str">
        <f aca="false">IF($C211="","",IF(OR($C211="Receiving",$C211="Stock Count Adjustment"),$D211,-$D211))</f>
        <v/>
      </c>
      <c r="F211" s="5"/>
      <c r="G211" s="5"/>
      <c r="H211" s="5"/>
      <c r="I211" s="5"/>
      <c r="J211" s="5"/>
    </row>
    <row r="212" customFormat="false" ht="15" hidden="false" customHeight="false" outlineLevel="0" collapsed="false">
      <c r="A212" s="7" t="str">
        <f aca="false">IF($C212="","","M"&amp;TEXT(ROW()-1,"0000"))</f>
        <v/>
      </c>
      <c r="B212" s="5"/>
      <c r="C212" s="5"/>
      <c r="D212" s="5"/>
      <c r="E212" s="7" t="str">
        <f aca="false">IF($C212="","",IF(OR($C212="Receiving",$C212="Stock Count Adjustment"),$D212,-$D212))</f>
        <v/>
      </c>
      <c r="F212" s="5"/>
      <c r="G212" s="5"/>
      <c r="H212" s="5"/>
      <c r="I212" s="5"/>
      <c r="J212" s="5"/>
    </row>
    <row r="213" customFormat="false" ht="15" hidden="false" customHeight="false" outlineLevel="0" collapsed="false">
      <c r="A213" s="7" t="str">
        <f aca="false">IF($C213="","","M"&amp;TEXT(ROW()-1,"0000"))</f>
        <v/>
      </c>
      <c r="B213" s="5"/>
      <c r="C213" s="5"/>
      <c r="D213" s="5"/>
      <c r="E213" s="7" t="str">
        <f aca="false">IF($C213="","",IF(OR($C213="Receiving",$C213="Stock Count Adjustment"),$D213,-$D213))</f>
        <v/>
      </c>
      <c r="F213" s="5"/>
      <c r="G213" s="5"/>
      <c r="H213" s="5"/>
      <c r="I213" s="5"/>
      <c r="J213" s="5"/>
    </row>
    <row r="214" customFormat="false" ht="15" hidden="false" customHeight="false" outlineLevel="0" collapsed="false">
      <c r="A214" s="7" t="str">
        <f aca="false">IF($C214="","","M"&amp;TEXT(ROW()-1,"0000"))</f>
        <v/>
      </c>
      <c r="B214" s="5"/>
      <c r="C214" s="5"/>
      <c r="D214" s="5"/>
      <c r="E214" s="7" t="str">
        <f aca="false">IF($C214="","",IF(OR($C214="Receiving",$C214="Stock Count Adjustment"),$D214,-$D214))</f>
        <v/>
      </c>
      <c r="F214" s="5"/>
      <c r="G214" s="5"/>
      <c r="H214" s="5"/>
      <c r="I214" s="5"/>
      <c r="J214" s="5"/>
    </row>
    <row r="215" customFormat="false" ht="15" hidden="false" customHeight="false" outlineLevel="0" collapsed="false">
      <c r="A215" s="7" t="str">
        <f aca="false">IF($C215="","","M"&amp;TEXT(ROW()-1,"0000"))</f>
        <v/>
      </c>
      <c r="B215" s="5"/>
      <c r="C215" s="5"/>
      <c r="D215" s="5"/>
      <c r="E215" s="7" t="str">
        <f aca="false">IF($C215="","",IF(OR($C215="Receiving",$C215="Stock Count Adjustment"),$D215,-$D215))</f>
        <v/>
      </c>
      <c r="F215" s="5"/>
      <c r="G215" s="5"/>
      <c r="H215" s="5"/>
      <c r="I215" s="5"/>
      <c r="J215" s="5"/>
    </row>
    <row r="216" customFormat="false" ht="15" hidden="false" customHeight="false" outlineLevel="0" collapsed="false">
      <c r="A216" s="7" t="str">
        <f aca="false">IF($C216="","","M"&amp;TEXT(ROW()-1,"0000"))</f>
        <v/>
      </c>
      <c r="B216" s="5"/>
      <c r="C216" s="5"/>
      <c r="D216" s="5"/>
      <c r="E216" s="7" t="str">
        <f aca="false">IF($C216="","",IF(OR($C216="Receiving",$C216="Stock Count Adjustment"),$D216,-$D216))</f>
        <v/>
      </c>
      <c r="F216" s="5"/>
      <c r="G216" s="5"/>
      <c r="H216" s="5"/>
      <c r="I216" s="5"/>
      <c r="J216" s="5"/>
    </row>
    <row r="217" customFormat="false" ht="15" hidden="false" customHeight="false" outlineLevel="0" collapsed="false">
      <c r="A217" s="7" t="str">
        <f aca="false">IF($C217="","","M"&amp;TEXT(ROW()-1,"0000"))</f>
        <v/>
      </c>
      <c r="B217" s="5"/>
      <c r="C217" s="5"/>
      <c r="D217" s="5"/>
      <c r="E217" s="7" t="str">
        <f aca="false">IF($C217="","",IF(OR($C217="Receiving",$C217="Stock Count Adjustment"),$D217,-$D217))</f>
        <v/>
      </c>
      <c r="F217" s="5"/>
      <c r="G217" s="5"/>
      <c r="H217" s="5"/>
      <c r="I217" s="5"/>
      <c r="J217" s="5"/>
    </row>
    <row r="218" customFormat="false" ht="15" hidden="false" customHeight="false" outlineLevel="0" collapsed="false">
      <c r="A218" s="7" t="str">
        <f aca="false">IF($C218="","","M"&amp;TEXT(ROW()-1,"0000"))</f>
        <v/>
      </c>
      <c r="B218" s="5"/>
      <c r="C218" s="5"/>
      <c r="D218" s="5"/>
      <c r="E218" s="7" t="str">
        <f aca="false">IF($C218="","",IF(OR($C218="Receiving",$C218="Stock Count Adjustment"),$D218,-$D218))</f>
        <v/>
      </c>
      <c r="F218" s="5"/>
      <c r="G218" s="5"/>
      <c r="H218" s="5"/>
      <c r="I218" s="5"/>
      <c r="J218" s="5"/>
    </row>
    <row r="219" customFormat="false" ht="15" hidden="false" customHeight="false" outlineLevel="0" collapsed="false">
      <c r="A219" s="7" t="str">
        <f aca="false">IF($C219="","","M"&amp;TEXT(ROW()-1,"0000"))</f>
        <v/>
      </c>
      <c r="B219" s="5"/>
      <c r="C219" s="5"/>
      <c r="D219" s="5"/>
      <c r="E219" s="7" t="str">
        <f aca="false">IF($C219="","",IF(OR($C219="Receiving",$C219="Stock Count Adjustment"),$D219,-$D219))</f>
        <v/>
      </c>
      <c r="F219" s="5"/>
      <c r="G219" s="5"/>
      <c r="H219" s="5"/>
      <c r="I219" s="5"/>
      <c r="J219" s="5"/>
    </row>
    <row r="220" customFormat="false" ht="15" hidden="false" customHeight="false" outlineLevel="0" collapsed="false">
      <c r="A220" s="7" t="str">
        <f aca="false">IF($C220="","","M"&amp;TEXT(ROW()-1,"0000"))</f>
        <v/>
      </c>
      <c r="B220" s="5"/>
      <c r="C220" s="5"/>
      <c r="D220" s="5"/>
      <c r="E220" s="7" t="str">
        <f aca="false">IF($C220="","",IF(OR($C220="Receiving",$C220="Stock Count Adjustment"),$D220,-$D220))</f>
        <v/>
      </c>
      <c r="F220" s="5"/>
      <c r="G220" s="5"/>
      <c r="H220" s="5"/>
      <c r="I220" s="5"/>
      <c r="J220" s="5"/>
    </row>
    <row r="221" customFormat="false" ht="15" hidden="false" customHeight="false" outlineLevel="0" collapsed="false">
      <c r="A221" s="7" t="str">
        <f aca="false">IF($C221="","","M"&amp;TEXT(ROW()-1,"0000"))</f>
        <v/>
      </c>
      <c r="B221" s="5"/>
      <c r="C221" s="5"/>
      <c r="D221" s="5"/>
      <c r="E221" s="7" t="str">
        <f aca="false">IF($C221="","",IF(OR($C221="Receiving",$C221="Stock Count Adjustment"),$D221,-$D221))</f>
        <v/>
      </c>
      <c r="F221" s="5"/>
      <c r="G221" s="5"/>
      <c r="H221" s="5"/>
      <c r="I221" s="5"/>
      <c r="J221" s="5"/>
    </row>
    <row r="222" customFormat="false" ht="15" hidden="false" customHeight="false" outlineLevel="0" collapsed="false">
      <c r="A222" s="7" t="str">
        <f aca="false">IF($C222="","","M"&amp;TEXT(ROW()-1,"0000"))</f>
        <v/>
      </c>
      <c r="B222" s="5"/>
      <c r="C222" s="5"/>
      <c r="D222" s="5"/>
      <c r="E222" s="7" t="str">
        <f aca="false">IF($C222="","",IF(OR($C222="Receiving",$C222="Stock Count Adjustment"),$D222,-$D222))</f>
        <v/>
      </c>
      <c r="F222" s="5"/>
      <c r="G222" s="5"/>
      <c r="H222" s="5"/>
      <c r="I222" s="5"/>
      <c r="J222" s="5"/>
    </row>
    <row r="223" customFormat="false" ht="15" hidden="false" customHeight="false" outlineLevel="0" collapsed="false">
      <c r="A223" s="7" t="str">
        <f aca="false">IF($C223="","","M"&amp;TEXT(ROW()-1,"0000"))</f>
        <v/>
      </c>
      <c r="B223" s="5"/>
      <c r="C223" s="5"/>
      <c r="D223" s="5"/>
      <c r="E223" s="7" t="str">
        <f aca="false">IF($C223="","",IF(OR($C223="Receiving",$C223="Stock Count Adjustment"),$D223,-$D223))</f>
        <v/>
      </c>
      <c r="F223" s="5"/>
      <c r="G223" s="5"/>
      <c r="H223" s="5"/>
      <c r="I223" s="5"/>
      <c r="J223" s="5"/>
    </row>
    <row r="224" customFormat="false" ht="15" hidden="false" customHeight="false" outlineLevel="0" collapsed="false">
      <c r="A224" s="7" t="str">
        <f aca="false">IF($C224="","","M"&amp;TEXT(ROW()-1,"0000"))</f>
        <v/>
      </c>
      <c r="B224" s="5"/>
      <c r="C224" s="5"/>
      <c r="D224" s="5"/>
      <c r="E224" s="7" t="str">
        <f aca="false">IF($C224="","",IF(OR($C224="Receiving",$C224="Stock Count Adjustment"),$D224,-$D224))</f>
        <v/>
      </c>
      <c r="F224" s="5"/>
      <c r="G224" s="5"/>
      <c r="H224" s="5"/>
      <c r="I224" s="5"/>
      <c r="J224" s="5"/>
    </row>
    <row r="225" customFormat="false" ht="15" hidden="false" customHeight="false" outlineLevel="0" collapsed="false">
      <c r="A225" s="7" t="str">
        <f aca="false">IF($C225="","","M"&amp;TEXT(ROW()-1,"0000"))</f>
        <v/>
      </c>
      <c r="B225" s="5"/>
      <c r="C225" s="5"/>
      <c r="D225" s="5"/>
      <c r="E225" s="7" t="str">
        <f aca="false">IF($C225="","",IF(OR($C225="Receiving",$C225="Stock Count Adjustment"),$D225,-$D225))</f>
        <v/>
      </c>
      <c r="F225" s="5"/>
      <c r="G225" s="5"/>
      <c r="H225" s="5"/>
      <c r="I225" s="5"/>
      <c r="J225" s="5"/>
    </row>
    <row r="226" customFormat="false" ht="15" hidden="false" customHeight="false" outlineLevel="0" collapsed="false">
      <c r="A226" s="7" t="str">
        <f aca="false">IF($C226="","","M"&amp;TEXT(ROW()-1,"0000"))</f>
        <v/>
      </c>
      <c r="B226" s="5"/>
      <c r="C226" s="5"/>
      <c r="D226" s="5"/>
      <c r="E226" s="7" t="str">
        <f aca="false">IF($C226="","",IF(OR($C226="Receiving",$C226="Stock Count Adjustment"),$D226,-$D226))</f>
        <v/>
      </c>
      <c r="F226" s="5"/>
      <c r="G226" s="5"/>
      <c r="H226" s="5"/>
      <c r="I226" s="5"/>
      <c r="J226" s="5"/>
    </row>
    <row r="227" customFormat="false" ht="15" hidden="false" customHeight="false" outlineLevel="0" collapsed="false">
      <c r="A227" s="7" t="str">
        <f aca="false">IF($C227="","","M"&amp;TEXT(ROW()-1,"0000"))</f>
        <v/>
      </c>
      <c r="B227" s="5"/>
      <c r="C227" s="5"/>
      <c r="D227" s="5"/>
      <c r="E227" s="7" t="str">
        <f aca="false">IF($C227="","",IF(OR($C227="Receiving",$C227="Stock Count Adjustment"),$D227,-$D227))</f>
        <v/>
      </c>
      <c r="F227" s="5"/>
      <c r="G227" s="5"/>
      <c r="H227" s="5"/>
      <c r="I227" s="5"/>
      <c r="J227" s="5"/>
    </row>
    <row r="228" customFormat="false" ht="15" hidden="false" customHeight="false" outlineLevel="0" collapsed="false">
      <c r="A228" s="7" t="str">
        <f aca="false">IF($C228="","","M"&amp;TEXT(ROW()-1,"0000"))</f>
        <v/>
      </c>
      <c r="B228" s="5"/>
      <c r="C228" s="5"/>
      <c r="D228" s="5"/>
      <c r="E228" s="7" t="str">
        <f aca="false">IF($C228="","",IF(OR($C228="Receiving",$C228="Stock Count Adjustment"),$D228,-$D228))</f>
        <v/>
      </c>
      <c r="F228" s="5"/>
      <c r="G228" s="5"/>
      <c r="H228" s="5"/>
      <c r="I228" s="5"/>
      <c r="J228" s="5"/>
    </row>
    <row r="229" customFormat="false" ht="15" hidden="false" customHeight="false" outlineLevel="0" collapsed="false">
      <c r="A229" s="7" t="str">
        <f aca="false">IF($C229="","","M"&amp;TEXT(ROW()-1,"0000"))</f>
        <v/>
      </c>
      <c r="B229" s="5"/>
      <c r="C229" s="5"/>
      <c r="D229" s="5"/>
      <c r="E229" s="7" t="str">
        <f aca="false">IF($C229="","",IF(OR($C229="Receiving",$C229="Stock Count Adjustment"),$D229,-$D229))</f>
        <v/>
      </c>
      <c r="F229" s="5"/>
      <c r="G229" s="5"/>
      <c r="H229" s="5"/>
      <c r="I229" s="5"/>
      <c r="J229" s="5"/>
    </row>
    <row r="230" customFormat="false" ht="15" hidden="false" customHeight="false" outlineLevel="0" collapsed="false">
      <c r="A230" s="7" t="str">
        <f aca="false">IF($C230="","","M"&amp;TEXT(ROW()-1,"0000"))</f>
        <v/>
      </c>
      <c r="B230" s="5"/>
      <c r="C230" s="5"/>
      <c r="D230" s="5"/>
      <c r="E230" s="7" t="str">
        <f aca="false">IF($C230="","",IF(OR($C230="Receiving",$C230="Stock Count Adjustment"),$D230,-$D230))</f>
        <v/>
      </c>
      <c r="F230" s="5"/>
      <c r="G230" s="5"/>
      <c r="H230" s="5"/>
      <c r="I230" s="5"/>
      <c r="J230" s="5"/>
    </row>
    <row r="231" customFormat="false" ht="15" hidden="false" customHeight="false" outlineLevel="0" collapsed="false">
      <c r="A231" s="7" t="str">
        <f aca="false">IF($C231="","","M"&amp;TEXT(ROW()-1,"0000"))</f>
        <v/>
      </c>
      <c r="B231" s="5"/>
      <c r="C231" s="5"/>
      <c r="D231" s="5"/>
      <c r="E231" s="7" t="str">
        <f aca="false">IF($C231="","",IF(OR($C231="Receiving",$C231="Stock Count Adjustment"),$D231,-$D231))</f>
        <v/>
      </c>
      <c r="F231" s="5"/>
      <c r="G231" s="5"/>
      <c r="H231" s="5"/>
      <c r="I231" s="5"/>
      <c r="J231" s="5"/>
    </row>
    <row r="232" customFormat="false" ht="15" hidden="false" customHeight="false" outlineLevel="0" collapsed="false">
      <c r="A232" s="7" t="str">
        <f aca="false">IF($C232="","","M"&amp;TEXT(ROW()-1,"0000"))</f>
        <v/>
      </c>
      <c r="B232" s="5"/>
      <c r="C232" s="5"/>
      <c r="D232" s="5"/>
      <c r="E232" s="7" t="str">
        <f aca="false">IF($C232="","",IF(OR($C232="Receiving",$C232="Stock Count Adjustment"),$D232,-$D232))</f>
        <v/>
      </c>
      <c r="F232" s="5"/>
      <c r="G232" s="5"/>
      <c r="H232" s="5"/>
      <c r="I232" s="5"/>
      <c r="J232" s="5"/>
    </row>
    <row r="233" customFormat="false" ht="15" hidden="false" customHeight="false" outlineLevel="0" collapsed="false">
      <c r="A233" s="7" t="str">
        <f aca="false">IF($C233="","","M"&amp;TEXT(ROW()-1,"0000"))</f>
        <v/>
      </c>
      <c r="B233" s="5"/>
      <c r="C233" s="5"/>
      <c r="D233" s="5"/>
      <c r="E233" s="7" t="str">
        <f aca="false">IF($C233="","",IF(OR($C233="Receiving",$C233="Stock Count Adjustment"),$D233,-$D233))</f>
        <v/>
      </c>
      <c r="F233" s="5"/>
      <c r="G233" s="5"/>
      <c r="H233" s="5"/>
      <c r="I233" s="5"/>
      <c r="J233" s="5"/>
    </row>
    <row r="234" customFormat="false" ht="15" hidden="false" customHeight="false" outlineLevel="0" collapsed="false">
      <c r="A234" s="7" t="str">
        <f aca="false">IF($C234="","","M"&amp;TEXT(ROW()-1,"0000"))</f>
        <v/>
      </c>
      <c r="B234" s="5"/>
      <c r="C234" s="5"/>
      <c r="D234" s="5"/>
      <c r="E234" s="7" t="str">
        <f aca="false">IF($C234="","",IF(OR($C234="Receiving",$C234="Stock Count Adjustment"),$D234,-$D234))</f>
        <v/>
      </c>
      <c r="F234" s="5"/>
      <c r="G234" s="5"/>
      <c r="H234" s="5"/>
      <c r="I234" s="5"/>
      <c r="J234" s="5"/>
    </row>
    <row r="235" customFormat="false" ht="15" hidden="false" customHeight="false" outlineLevel="0" collapsed="false">
      <c r="A235" s="7" t="str">
        <f aca="false">IF($C235="","","M"&amp;TEXT(ROW()-1,"0000"))</f>
        <v/>
      </c>
      <c r="B235" s="5"/>
      <c r="C235" s="5"/>
      <c r="D235" s="5"/>
      <c r="E235" s="7" t="str">
        <f aca="false">IF($C235="","",IF(OR($C235="Receiving",$C235="Stock Count Adjustment"),$D235,-$D235))</f>
        <v/>
      </c>
      <c r="F235" s="5"/>
      <c r="G235" s="5"/>
      <c r="H235" s="5"/>
      <c r="I235" s="5"/>
      <c r="J235" s="5"/>
    </row>
    <row r="236" customFormat="false" ht="15" hidden="false" customHeight="false" outlineLevel="0" collapsed="false">
      <c r="A236" s="7" t="str">
        <f aca="false">IF($C236="","","M"&amp;TEXT(ROW()-1,"0000"))</f>
        <v/>
      </c>
      <c r="B236" s="5"/>
      <c r="C236" s="5"/>
      <c r="D236" s="5"/>
      <c r="E236" s="7" t="str">
        <f aca="false">IF($C236="","",IF(OR($C236="Receiving",$C236="Stock Count Adjustment"),$D236,-$D236))</f>
        <v/>
      </c>
      <c r="F236" s="5"/>
      <c r="G236" s="5"/>
      <c r="H236" s="5"/>
      <c r="I236" s="5"/>
      <c r="J236" s="5"/>
    </row>
    <row r="237" customFormat="false" ht="15" hidden="false" customHeight="false" outlineLevel="0" collapsed="false">
      <c r="A237" s="7" t="str">
        <f aca="false">IF($C237="","","M"&amp;TEXT(ROW()-1,"0000"))</f>
        <v/>
      </c>
      <c r="B237" s="5"/>
      <c r="C237" s="5"/>
      <c r="D237" s="5"/>
      <c r="E237" s="7" t="str">
        <f aca="false">IF($C237="","",IF(OR($C237="Receiving",$C237="Stock Count Adjustment"),$D237,-$D237))</f>
        <v/>
      </c>
      <c r="F237" s="5"/>
      <c r="G237" s="5"/>
      <c r="H237" s="5"/>
      <c r="I237" s="5"/>
      <c r="J237" s="5"/>
    </row>
    <row r="238" customFormat="false" ht="15" hidden="false" customHeight="false" outlineLevel="0" collapsed="false">
      <c r="A238" s="7" t="str">
        <f aca="false">IF($C238="","","M"&amp;TEXT(ROW()-1,"0000"))</f>
        <v/>
      </c>
      <c r="B238" s="5"/>
      <c r="C238" s="5"/>
      <c r="D238" s="5"/>
      <c r="E238" s="7" t="str">
        <f aca="false">IF($C238="","",IF(OR($C238="Receiving",$C238="Stock Count Adjustment"),$D238,-$D238))</f>
        <v/>
      </c>
      <c r="F238" s="5"/>
      <c r="G238" s="5"/>
      <c r="H238" s="5"/>
      <c r="I238" s="5"/>
      <c r="J238" s="5"/>
    </row>
    <row r="239" customFormat="false" ht="15" hidden="false" customHeight="false" outlineLevel="0" collapsed="false">
      <c r="A239" s="7" t="str">
        <f aca="false">IF($C239="","","M"&amp;TEXT(ROW()-1,"0000"))</f>
        <v/>
      </c>
      <c r="B239" s="5"/>
      <c r="C239" s="5"/>
      <c r="D239" s="5"/>
      <c r="E239" s="7" t="str">
        <f aca="false">IF($C239="","",IF(OR($C239="Receiving",$C239="Stock Count Adjustment"),$D239,-$D239))</f>
        <v/>
      </c>
      <c r="F239" s="5"/>
      <c r="G239" s="5"/>
      <c r="H239" s="5"/>
      <c r="I239" s="5"/>
      <c r="J239" s="5"/>
    </row>
    <row r="240" customFormat="false" ht="15" hidden="false" customHeight="false" outlineLevel="0" collapsed="false">
      <c r="A240" s="7" t="str">
        <f aca="false">IF($C240="","","M"&amp;TEXT(ROW()-1,"0000"))</f>
        <v/>
      </c>
      <c r="B240" s="5"/>
      <c r="C240" s="5"/>
      <c r="D240" s="5"/>
      <c r="E240" s="7" t="str">
        <f aca="false">IF($C240="","",IF(OR($C240="Receiving",$C240="Stock Count Adjustment"),$D240,-$D240))</f>
        <v/>
      </c>
      <c r="F240" s="5"/>
      <c r="G240" s="5"/>
      <c r="H240" s="5"/>
      <c r="I240" s="5"/>
      <c r="J240" s="5"/>
    </row>
    <row r="241" customFormat="false" ht="15" hidden="false" customHeight="false" outlineLevel="0" collapsed="false">
      <c r="A241" s="7" t="str">
        <f aca="false">IF($C241="","","M"&amp;TEXT(ROW()-1,"0000"))</f>
        <v/>
      </c>
      <c r="B241" s="5"/>
      <c r="C241" s="5"/>
      <c r="D241" s="5"/>
      <c r="E241" s="7" t="str">
        <f aca="false">IF($C241="","",IF(OR($C241="Receiving",$C241="Stock Count Adjustment"),$D241,-$D241))</f>
        <v/>
      </c>
      <c r="F241" s="5"/>
      <c r="G241" s="5"/>
      <c r="H241" s="5"/>
      <c r="I241" s="5"/>
      <c r="J241" s="5"/>
    </row>
    <row r="242" customFormat="false" ht="15" hidden="false" customHeight="false" outlineLevel="0" collapsed="false">
      <c r="A242" s="7" t="str">
        <f aca="false">IF($C242="","","M"&amp;TEXT(ROW()-1,"0000"))</f>
        <v/>
      </c>
      <c r="B242" s="5"/>
      <c r="C242" s="5"/>
      <c r="D242" s="5"/>
      <c r="E242" s="7" t="str">
        <f aca="false">IF($C242="","",IF(OR($C242="Receiving",$C242="Stock Count Adjustment"),$D242,-$D242))</f>
        <v/>
      </c>
      <c r="F242" s="5"/>
      <c r="G242" s="5"/>
      <c r="H242" s="5"/>
      <c r="I242" s="5"/>
      <c r="J242" s="5"/>
    </row>
    <row r="243" customFormat="false" ht="15" hidden="false" customHeight="false" outlineLevel="0" collapsed="false">
      <c r="A243" s="7" t="str">
        <f aca="false">IF($C243="","","M"&amp;TEXT(ROW()-1,"0000"))</f>
        <v/>
      </c>
      <c r="B243" s="5"/>
      <c r="C243" s="5"/>
      <c r="D243" s="5"/>
      <c r="E243" s="7" t="str">
        <f aca="false">IF($C243="","",IF(OR($C243="Receiving",$C243="Stock Count Adjustment"),$D243,-$D243))</f>
        <v/>
      </c>
      <c r="F243" s="5"/>
      <c r="G243" s="5"/>
      <c r="H243" s="5"/>
      <c r="I243" s="5"/>
      <c r="J243" s="5"/>
    </row>
    <row r="244" customFormat="false" ht="15" hidden="false" customHeight="false" outlineLevel="0" collapsed="false">
      <c r="A244" s="7" t="str">
        <f aca="false">IF($C244="","","M"&amp;TEXT(ROW()-1,"0000"))</f>
        <v/>
      </c>
      <c r="B244" s="5"/>
      <c r="C244" s="5"/>
      <c r="D244" s="5"/>
      <c r="E244" s="7" t="str">
        <f aca="false">IF($C244="","",IF(OR($C244="Receiving",$C244="Stock Count Adjustment"),$D244,-$D244))</f>
        <v/>
      </c>
      <c r="F244" s="5"/>
      <c r="G244" s="5"/>
      <c r="H244" s="5"/>
      <c r="I244" s="5"/>
      <c r="J244" s="5"/>
    </row>
    <row r="245" customFormat="false" ht="15" hidden="false" customHeight="false" outlineLevel="0" collapsed="false">
      <c r="A245" s="7" t="str">
        <f aca="false">IF($C245="","","M"&amp;TEXT(ROW()-1,"0000"))</f>
        <v/>
      </c>
      <c r="B245" s="5"/>
      <c r="C245" s="5"/>
      <c r="D245" s="5"/>
      <c r="E245" s="7" t="str">
        <f aca="false">IF($C245="","",IF(OR($C245="Receiving",$C245="Stock Count Adjustment"),$D245,-$D245))</f>
        <v/>
      </c>
      <c r="F245" s="5"/>
      <c r="G245" s="5"/>
      <c r="H245" s="5"/>
      <c r="I245" s="5"/>
      <c r="J245" s="5"/>
    </row>
    <row r="246" customFormat="false" ht="15" hidden="false" customHeight="false" outlineLevel="0" collapsed="false">
      <c r="A246" s="7" t="str">
        <f aca="false">IF($C246="","","M"&amp;TEXT(ROW()-1,"0000"))</f>
        <v/>
      </c>
      <c r="B246" s="5"/>
      <c r="C246" s="5"/>
      <c r="D246" s="5"/>
      <c r="E246" s="7" t="str">
        <f aca="false">IF($C246="","",IF(OR($C246="Receiving",$C246="Stock Count Adjustment"),$D246,-$D246))</f>
        <v/>
      </c>
      <c r="F246" s="5"/>
      <c r="G246" s="5"/>
      <c r="H246" s="5"/>
      <c r="I246" s="5"/>
      <c r="J246" s="5"/>
    </row>
    <row r="247" customFormat="false" ht="15" hidden="false" customHeight="false" outlineLevel="0" collapsed="false">
      <c r="A247" s="7" t="str">
        <f aca="false">IF($C247="","","M"&amp;TEXT(ROW()-1,"0000"))</f>
        <v/>
      </c>
      <c r="B247" s="5"/>
      <c r="C247" s="5"/>
      <c r="D247" s="5"/>
      <c r="E247" s="7" t="str">
        <f aca="false">IF($C247="","",IF(OR($C247="Receiving",$C247="Stock Count Adjustment"),$D247,-$D247))</f>
        <v/>
      </c>
      <c r="F247" s="5"/>
      <c r="G247" s="5"/>
      <c r="H247" s="5"/>
      <c r="I247" s="5"/>
      <c r="J247" s="5"/>
    </row>
    <row r="248" customFormat="false" ht="15" hidden="false" customHeight="false" outlineLevel="0" collapsed="false">
      <c r="A248" s="7" t="str">
        <f aca="false">IF($C248="","","M"&amp;TEXT(ROW()-1,"0000"))</f>
        <v/>
      </c>
      <c r="B248" s="5"/>
      <c r="C248" s="5"/>
      <c r="D248" s="5"/>
      <c r="E248" s="7" t="str">
        <f aca="false">IF($C248="","",IF(OR($C248="Receiving",$C248="Stock Count Adjustment"),$D248,-$D248))</f>
        <v/>
      </c>
      <c r="F248" s="5"/>
      <c r="G248" s="5"/>
      <c r="H248" s="5"/>
      <c r="I248" s="5"/>
      <c r="J248" s="5"/>
    </row>
    <row r="249" customFormat="false" ht="15" hidden="false" customHeight="false" outlineLevel="0" collapsed="false">
      <c r="A249" s="7" t="str">
        <f aca="false">IF($C249="","","M"&amp;TEXT(ROW()-1,"0000"))</f>
        <v/>
      </c>
      <c r="B249" s="5"/>
      <c r="C249" s="5"/>
      <c r="D249" s="5"/>
      <c r="E249" s="7" t="str">
        <f aca="false">IF($C249="","",IF(OR($C249="Receiving",$C249="Stock Count Adjustment"),$D249,-$D249))</f>
        <v/>
      </c>
      <c r="F249" s="5"/>
      <c r="G249" s="5"/>
      <c r="H249" s="5"/>
      <c r="I249" s="5"/>
      <c r="J249" s="5"/>
    </row>
    <row r="250" customFormat="false" ht="15" hidden="false" customHeight="false" outlineLevel="0" collapsed="false">
      <c r="A250" s="7" t="str">
        <f aca="false">IF($C250="","","M"&amp;TEXT(ROW()-1,"0000"))</f>
        <v/>
      </c>
      <c r="B250" s="5"/>
      <c r="C250" s="5"/>
      <c r="D250" s="5"/>
      <c r="E250" s="7" t="str">
        <f aca="false">IF($C250="","",IF(OR($C250="Receiving",$C250="Stock Count Adjustment"),$D250,-$D250))</f>
        <v/>
      </c>
      <c r="F250" s="5"/>
      <c r="G250" s="5"/>
      <c r="H250" s="5"/>
      <c r="I250" s="5"/>
      <c r="J250" s="5"/>
    </row>
    <row r="251" customFormat="false" ht="15" hidden="false" customHeight="false" outlineLevel="0" collapsed="false">
      <c r="A251" s="7" t="str">
        <f aca="false">IF($C251="","","M"&amp;TEXT(ROW()-1,"0000"))</f>
        <v/>
      </c>
      <c r="B251" s="5"/>
      <c r="C251" s="5"/>
      <c r="D251" s="5"/>
      <c r="E251" s="7" t="str">
        <f aca="false">IF($C251="","",IF(OR($C251="Receiving",$C251="Stock Count Adjustment"),$D251,-$D251))</f>
        <v/>
      </c>
      <c r="F251" s="5"/>
      <c r="G251" s="5"/>
      <c r="H251" s="5"/>
      <c r="I251" s="5"/>
      <c r="J251" s="5"/>
    </row>
    <row r="252" customFormat="false" ht="15" hidden="false" customHeight="false" outlineLevel="0" collapsed="false">
      <c r="A252" s="7" t="str">
        <f aca="false">IF($C252="","","M"&amp;TEXT(ROW()-1,"0000"))</f>
        <v/>
      </c>
      <c r="B252" s="5"/>
      <c r="C252" s="5"/>
      <c r="D252" s="5"/>
      <c r="E252" s="7" t="str">
        <f aca="false">IF($C252="","",IF(OR($C252="Receiving",$C252="Stock Count Adjustment"),$D252,-$D252))</f>
        <v/>
      </c>
      <c r="F252" s="5"/>
      <c r="G252" s="5"/>
      <c r="H252" s="5"/>
      <c r="I252" s="5"/>
      <c r="J252" s="5"/>
    </row>
    <row r="253" customFormat="false" ht="15" hidden="false" customHeight="false" outlineLevel="0" collapsed="false">
      <c r="A253" s="7" t="str">
        <f aca="false">IF($C253="","","M"&amp;TEXT(ROW()-1,"0000"))</f>
        <v/>
      </c>
      <c r="B253" s="5"/>
      <c r="C253" s="5"/>
      <c r="D253" s="5"/>
      <c r="E253" s="7" t="str">
        <f aca="false">IF($C253="","",IF(OR($C253="Receiving",$C253="Stock Count Adjustment"),$D253,-$D253))</f>
        <v/>
      </c>
      <c r="F253" s="5"/>
      <c r="G253" s="5"/>
      <c r="H253" s="5"/>
      <c r="I253" s="5"/>
      <c r="J253" s="5"/>
    </row>
    <row r="254" customFormat="false" ht="15" hidden="false" customHeight="false" outlineLevel="0" collapsed="false">
      <c r="A254" s="7" t="str">
        <f aca="false">IF($C254="","","M"&amp;TEXT(ROW()-1,"0000"))</f>
        <v/>
      </c>
      <c r="B254" s="5"/>
      <c r="C254" s="5"/>
      <c r="D254" s="5"/>
      <c r="E254" s="7" t="str">
        <f aca="false">IF($C254="","",IF(OR($C254="Receiving",$C254="Stock Count Adjustment"),$D254,-$D254))</f>
        <v/>
      </c>
      <c r="F254" s="5"/>
      <c r="G254" s="5"/>
      <c r="H254" s="5"/>
      <c r="I254" s="5"/>
      <c r="J254" s="5"/>
    </row>
    <row r="255" customFormat="false" ht="15" hidden="false" customHeight="false" outlineLevel="0" collapsed="false">
      <c r="A255" s="7" t="str">
        <f aca="false">IF($C255="","","M"&amp;TEXT(ROW()-1,"0000"))</f>
        <v/>
      </c>
      <c r="B255" s="5"/>
      <c r="C255" s="5"/>
      <c r="D255" s="5"/>
      <c r="E255" s="7" t="str">
        <f aca="false">IF($C255="","",IF(OR($C255="Receiving",$C255="Stock Count Adjustment"),$D255,-$D255))</f>
        <v/>
      </c>
      <c r="F255" s="5"/>
      <c r="G255" s="5"/>
      <c r="H255" s="5"/>
      <c r="I255" s="5"/>
      <c r="J255" s="5"/>
    </row>
    <row r="256" customFormat="false" ht="15" hidden="false" customHeight="false" outlineLevel="0" collapsed="false">
      <c r="A256" s="7" t="str">
        <f aca="false">IF($C256="","","M"&amp;TEXT(ROW()-1,"0000"))</f>
        <v/>
      </c>
      <c r="B256" s="5"/>
      <c r="C256" s="5"/>
      <c r="D256" s="5"/>
      <c r="E256" s="7" t="str">
        <f aca="false">IF($C256="","",IF(OR($C256="Receiving",$C256="Stock Count Adjustment"),$D256,-$D256))</f>
        <v/>
      </c>
      <c r="F256" s="5"/>
      <c r="G256" s="5"/>
      <c r="H256" s="5"/>
      <c r="I256" s="5"/>
      <c r="J256" s="5"/>
    </row>
    <row r="257" customFormat="false" ht="15" hidden="false" customHeight="false" outlineLevel="0" collapsed="false">
      <c r="A257" s="7" t="str">
        <f aca="false">IF($C257="","","M"&amp;TEXT(ROW()-1,"0000"))</f>
        <v/>
      </c>
      <c r="B257" s="5"/>
      <c r="C257" s="5"/>
      <c r="D257" s="5"/>
      <c r="E257" s="7" t="str">
        <f aca="false">IF($C257="","",IF(OR($C257="Receiving",$C257="Stock Count Adjustment"),$D257,-$D257))</f>
        <v/>
      </c>
      <c r="F257" s="5"/>
      <c r="G257" s="5"/>
      <c r="H257" s="5"/>
      <c r="I257" s="5"/>
      <c r="J257" s="5"/>
    </row>
    <row r="258" customFormat="false" ht="15" hidden="false" customHeight="false" outlineLevel="0" collapsed="false">
      <c r="A258" s="7" t="str">
        <f aca="false">IF($C258="","","M"&amp;TEXT(ROW()-1,"0000"))</f>
        <v/>
      </c>
      <c r="B258" s="5"/>
      <c r="C258" s="5"/>
      <c r="D258" s="5"/>
      <c r="E258" s="7" t="str">
        <f aca="false">IF($C258="","",IF(OR($C258="Receiving",$C258="Stock Count Adjustment"),$D258,-$D258))</f>
        <v/>
      </c>
      <c r="F258" s="5"/>
      <c r="G258" s="5"/>
      <c r="H258" s="5"/>
      <c r="I258" s="5"/>
      <c r="J258" s="5"/>
    </row>
    <row r="259" customFormat="false" ht="15" hidden="false" customHeight="false" outlineLevel="0" collapsed="false">
      <c r="A259" s="7" t="str">
        <f aca="false">IF($C259="","","M"&amp;TEXT(ROW()-1,"0000"))</f>
        <v/>
      </c>
      <c r="B259" s="5"/>
      <c r="C259" s="5"/>
      <c r="D259" s="5"/>
      <c r="E259" s="7" t="str">
        <f aca="false">IF($C259="","",IF(OR($C259="Receiving",$C259="Stock Count Adjustment"),$D259,-$D259))</f>
        <v/>
      </c>
      <c r="F259" s="5"/>
      <c r="G259" s="5"/>
      <c r="H259" s="5"/>
      <c r="I259" s="5"/>
      <c r="J259" s="5"/>
    </row>
    <row r="260" customFormat="false" ht="15" hidden="false" customHeight="false" outlineLevel="0" collapsed="false">
      <c r="A260" s="7" t="str">
        <f aca="false">IF($C260="","","M"&amp;TEXT(ROW()-1,"0000"))</f>
        <v/>
      </c>
      <c r="B260" s="5"/>
      <c r="C260" s="5"/>
      <c r="D260" s="5"/>
      <c r="E260" s="7" t="str">
        <f aca="false">IF($C260="","",IF(OR($C260="Receiving",$C260="Stock Count Adjustment"),$D260,-$D260))</f>
        <v/>
      </c>
      <c r="F260" s="5"/>
      <c r="G260" s="5"/>
      <c r="H260" s="5"/>
      <c r="I260" s="5"/>
      <c r="J260" s="5"/>
    </row>
    <row r="261" customFormat="false" ht="15" hidden="false" customHeight="false" outlineLevel="0" collapsed="false">
      <c r="A261" s="7" t="str">
        <f aca="false">IF($C261="","","M"&amp;TEXT(ROW()-1,"0000"))</f>
        <v/>
      </c>
      <c r="B261" s="5"/>
      <c r="C261" s="5"/>
      <c r="D261" s="5"/>
      <c r="E261" s="7" t="str">
        <f aca="false">IF($C261="","",IF(OR($C261="Receiving",$C261="Stock Count Adjustment"),$D261,-$D261))</f>
        <v/>
      </c>
      <c r="F261" s="5"/>
      <c r="G261" s="5"/>
      <c r="H261" s="5"/>
      <c r="I261" s="5"/>
      <c r="J261" s="5"/>
    </row>
    <row r="262" customFormat="false" ht="15" hidden="false" customHeight="false" outlineLevel="0" collapsed="false">
      <c r="A262" s="7" t="str">
        <f aca="false">IF($C262="","","M"&amp;TEXT(ROW()-1,"0000"))</f>
        <v/>
      </c>
      <c r="B262" s="5"/>
      <c r="C262" s="5"/>
      <c r="D262" s="5"/>
      <c r="E262" s="7" t="str">
        <f aca="false">IF($C262="","",IF(OR($C262="Receiving",$C262="Stock Count Adjustment"),$D262,-$D262))</f>
        <v/>
      </c>
      <c r="F262" s="5"/>
      <c r="G262" s="5"/>
      <c r="H262" s="5"/>
      <c r="I262" s="5"/>
      <c r="J262" s="5"/>
    </row>
    <row r="263" customFormat="false" ht="15" hidden="false" customHeight="false" outlineLevel="0" collapsed="false">
      <c r="A263" s="7" t="str">
        <f aca="false">IF($C263="","","M"&amp;TEXT(ROW()-1,"0000"))</f>
        <v/>
      </c>
      <c r="B263" s="5"/>
      <c r="C263" s="5"/>
      <c r="D263" s="5"/>
      <c r="E263" s="7" t="str">
        <f aca="false">IF($C263="","",IF(OR($C263="Receiving",$C263="Stock Count Adjustment"),$D263,-$D263))</f>
        <v/>
      </c>
      <c r="F263" s="5"/>
      <c r="G263" s="5"/>
      <c r="H263" s="5"/>
      <c r="I263" s="5"/>
      <c r="J263" s="5"/>
    </row>
    <row r="264" customFormat="false" ht="15" hidden="false" customHeight="false" outlineLevel="0" collapsed="false">
      <c r="A264" s="7" t="str">
        <f aca="false">IF($C264="","","M"&amp;TEXT(ROW()-1,"0000"))</f>
        <v/>
      </c>
      <c r="B264" s="5"/>
      <c r="C264" s="5"/>
      <c r="D264" s="5"/>
      <c r="E264" s="7" t="str">
        <f aca="false">IF($C264="","",IF(OR($C264="Receiving",$C264="Stock Count Adjustment"),$D264,-$D264))</f>
        <v/>
      </c>
      <c r="F264" s="5"/>
      <c r="G264" s="5"/>
      <c r="H264" s="5"/>
      <c r="I264" s="5"/>
      <c r="J264" s="5"/>
    </row>
    <row r="265" customFormat="false" ht="15" hidden="false" customHeight="false" outlineLevel="0" collapsed="false">
      <c r="A265" s="7" t="str">
        <f aca="false">IF($C265="","","M"&amp;TEXT(ROW()-1,"0000"))</f>
        <v/>
      </c>
      <c r="B265" s="5"/>
      <c r="C265" s="5"/>
      <c r="D265" s="5"/>
      <c r="E265" s="7" t="str">
        <f aca="false">IF($C265="","",IF(OR($C265="Receiving",$C265="Stock Count Adjustment"),$D265,-$D265))</f>
        <v/>
      </c>
      <c r="F265" s="5"/>
      <c r="G265" s="5"/>
      <c r="H265" s="5"/>
      <c r="I265" s="5"/>
      <c r="J265" s="5"/>
    </row>
    <row r="266" customFormat="false" ht="15" hidden="false" customHeight="false" outlineLevel="0" collapsed="false">
      <c r="A266" s="7" t="str">
        <f aca="false">IF($C266="","","M"&amp;TEXT(ROW()-1,"0000"))</f>
        <v/>
      </c>
      <c r="B266" s="5"/>
      <c r="C266" s="5"/>
      <c r="D266" s="5"/>
      <c r="E266" s="7" t="str">
        <f aca="false">IF($C266="","",IF(OR($C266="Receiving",$C266="Stock Count Adjustment"),$D266,-$D266))</f>
        <v/>
      </c>
      <c r="F266" s="5"/>
      <c r="G266" s="5"/>
      <c r="H266" s="5"/>
      <c r="I266" s="5"/>
      <c r="J266" s="5"/>
    </row>
    <row r="267" customFormat="false" ht="15" hidden="false" customHeight="false" outlineLevel="0" collapsed="false">
      <c r="A267" s="7" t="str">
        <f aca="false">IF($C267="","","M"&amp;TEXT(ROW()-1,"0000"))</f>
        <v/>
      </c>
      <c r="B267" s="5"/>
      <c r="C267" s="5"/>
      <c r="D267" s="5"/>
      <c r="E267" s="7" t="str">
        <f aca="false">IF($C267="","",IF(OR($C267="Receiving",$C267="Stock Count Adjustment"),$D267,-$D267))</f>
        <v/>
      </c>
      <c r="F267" s="5"/>
      <c r="G267" s="5"/>
      <c r="H267" s="5"/>
      <c r="I267" s="5"/>
      <c r="J267" s="5"/>
    </row>
    <row r="268" customFormat="false" ht="15" hidden="false" customHeight="false" outlineLevel="0" collapsed="false">
      <c r="A268" s="7" t="str">
        <f aca="false">IF($C268="","","M"&amp;TEXT(ROW()-1,"0000"))</f>
        <v/>
      </c>
      <c r="B268" s="5"/>
      <c r="C268" s="5"/>
      <c r="D268" s="5"/>
      <c r="E268" s="7" t="str">
        <f aca="false">IF($C268="","",IF(OR($C268="Receiving",$C268="Stock Count Adjustment"),$D268,-$D268))</f>
        <v/>
      </c>
      <c r="F268" s="5"/>
      <c r="G268" s="5"/>
      <c r="H268" s="5"/>
      <c r="I268" s="5"/>
      <c r="J268" s="5"/>
    </row>
    <row r="269" customFormat="false" ht="15" hidden="false" customHeight="false" outlineLevel="0" collapsed="false">
      <c r="A269" s="7" t="str">
        <f aca="false">IF($C269="","","M"&amp;TEXT(ROW()-1,"0000"))</f>
        <v/>
      </c>
      <c r="B269" s="5"/>
      <c r="C269" s="5"/>
      <c r="D269" s="5"/>
      <c r="E269" s="7" t="str">
        <f aca="false">IF($C269="","",IF(OR($C269="Receiving",$C269="Stock Count Adjustment"),$D269,-$D269))</f>
        <v/>
      </c>
      <c r="F269" s="5"/>
      <c r="G269" s="5"/>
      <c r="H269" s="5"/>
      <c r="I269" s="5"/>
      <c r="J269" s="5"/>
    </row>
    <row r="270" customFormat="false" ht="15" hidden="false" customHeight="false" outlineLevel="0" collapsed="false">
      <c r="A270" s="7" t="str">
        <f aca="false">IF($C270="","","M"&amp;TEXT(ROW()-1,"0000"))</f>
        <v/>
      </c>
      <c r="B270" s="5"/>
      <c r="C270" s="5"/>
      <c r="D270" s="5"/>
      <c r="E270" s="7" t="str">
        <f aca="false">IF($C270="","",IF(OR($C270="Receiving",$C270="Stock Count Adjustment"),$D270,-$D270))</f>
        <v/>
      </c>
      <c r="F270" s="5"/>
      <c r="G270" s="5"/>
      <c r="H270" s="5"/>
      <c r="I270" s="5"/>
      <c r="J270" s="5"/>
    </row>
    <row r="271" customFormat="false" ht="15" hidden="false" customHeight="false" outlineLevel="0" collapsed="false">
      <c r="A271" s="7" t="str">
        <f aca="false">IF($C271="","","M"&amp;TEXT(ROW()-1,"0000"))</f>
        <v/>
      </c>
      <c r="B271" s="5"/>
      <c r="C271" s="5"/>
      <c r="D271" s="5"/>
      <c r="E271" s="7" t="str">
        <f aca="false">IF($C271="","",IF(OR($C271="Receiving",$C271="Stock Count Adjustment"),$D271,-$D271))</f>
        <v/>
      </c>
      <c r="F271" s="5"/>
      <c r="G271" s="5"/>
      <c r="H271" s="5"/>
      <c r="I271" s="5"/>
      <c r="J271" s="5"/>
    </row>
    <row r="272" customFormat="false" ht="15" hidden="false" customHeight="false" outlineLevel="0" collapsed="false">
      <c r="A272" s="7" t="str">
        <f aca="false">IF($C272="","","M"&amp;TEXT(ROW()-1,"0000"))</f>
        <v/>
      </c>
      <c r="B272" s="5"/>
      <c r="C272" s="5"/>
      <c r="D272" s="5"/>
      <c r="E272" s="7" t="str">
        <f aca="false">IF($C272="","",IF(OR($C272="Receiving",$C272="Stock Count Adjustment"),$D272,-$D272))</f>
        <v/>
      </c>
      <c r="F272" s="5"/>
      <c r="G272" s="5"/>
      <c r="H272" s="5"/>
      <c r="I272" s="5"/>
      <c r="J272" s="5"/>
    </row>
    <row r="273" customFormat="false" ht="15" hidden="false" customHeight="false" outlineLevel="0" collapsed="false">
      <c r="A273" s="7" t="str">
        <f aca="false">IF($C273="","","M"&amp;TEXT(ROW()-1,"0000"))</f>
        <v/>
      </c>
      <c r="B273" s="5"/>
      <c r="C273" s="5"/>
      <c r="D273" s="5"/>
      <c r="E273" s="7" t="str">
        <f aca="false">IF($C273="","",IF(OR($C273="Receiving",$C273="Stock Count Adjustment"),$D273,-$D273))</f>
        <v/>
      </c>
      <c r="F273" s="5"/>
      <c r="G273" s="5"/>
      <c r="H273" s="5"/>
      <c r="I273" s="5"/>
      <c r="J273" s="5"/>
    </row>
    <row r="274" customFormat="false" ht="15" hidden="false" customHeight="false" outlineLevel="0" collapsed="false">
      <c r="A274" s="7" t="str">
        <f aca="false">IF($C274="","","M"&amp;TEXT(ROW()-1,"0000"))</f>
        <v/>
      </c>
      <c r="B274" s="5"/>
      <c r="C274" s="5"/>
      <c r="D274" s="5"/>
      <c r="E274" s="7" t="str">
        <f aca="false">IF($C274="","",IF(OR($C274="Receiving",$C274="Stock Count Adjustment"),$D274,-$D274))</f>
        <v/>
      </c>
      <c r="F274" s="5"/>
      <c r="G274" s="5"/>
      <c r="H274" s="5"/>
      <c r="I274" s="5"/>
      <c r="J274" s="5"/>
    </row>
    <row r="275" customFormat="false" ht="15" hidden="false" customHeight="false" outlineLevel="0" collapsed="false">
      <c r="A275" s="7" t="str">
        <f aca="false">IF($C275="","","M"&amp;TEXT(ROW()-1,"0000"))</f>
        <v/>
      </c>
      <c r="B275" s="5"/>
      <c r="C275" s="5"/>
      <c r="D275" s="5"/>
      <c r="E275" s="7" t="str">
        <f aca="false">IF($C275="","",IF(OR($C275="Receiving",$C275="Stock Count Adjustment"),$D275,-$D275))</f>
        <v/>
      </c>
      <c r="F275" s="5"/>
      <c r="G275" s="5"/>
      <c r="H275" s="5"/>
      <c r="I275" s="5"/>
      <c r="J275" s="5"/>
    </row>
    <row r="276" customFormat="false" ht="15" hidden="false" customHeight="false" outlineLevel="0" collapsed="false">
      <c r="A276" s="7" t="str">
        <f aca="false">IF($C276="","","M"&amp;TEXT(ROW()-1,"0000"))</f>
        <v/>
      </c>
      <c r="B276" s="5"/>
      <c r="C276" s="5"/>
      <c r="D276" s="5"/>
      <c r="E276" s="7" t="str">
        <f aca="false">IF($C276="","",IF(OR($C276="Receiving",$C276="Stock Count Adjustment"),$D276,-$D276))</f>
        <v/>
      </c>
      <c r="F276" s="5"/>
      <c r="G276" s="5"/>
      <c r="H276" s="5"/>
      <c r="I276" s="5"/>
      <c r="J276" s="5"/>
    </row>
    <row r="277" customFormat="false" ht="15" hidden="false" customHeight="false" outlineLevel="0" collapsed="false">
      <c r="A277" s="7" t="str">
        <f aca="false">IF($C277="","","M"&amp;TEXT(ROW()-1,"0000"))</f>
        <v/>
      </c>
      <c r="B277" s="5"/>
      <c r="C277" s="5"/>
      <c r="D277" s="5"/>
      <c r="E277" s="7" t="str">
        <f aca="false">IF($C277="","",IF(OR($C277="Receiving",$C277="Stock Count Adjustment"),$D277,-$D277))</f>
        <v/>
      </c>
      <c r="F277" s="5"/>
      <c r="G277" s="5"/>
      <c r="H277" s="5"/>
      <c r="I277" s="5"/>
      <c r="J277" s="5"/>
    </row>
    <row r="278" customFormat="false" ht="15" hidden="false" customHeight="false" outlineLevel="0" collapsed="false">
      <c r="A278" s="7" t="str">
        <f aca="false">IF($C278="","","M"&amp;TEXT(ROW()-1,"0000"))</f>
        <v/>
      </c>
      <c r="B278" s="5"/>
      <c r="C278" s="5"/>
      <c r="D278" s="5"/>
      <c r="E278" s="7" t="str">
        <f aca="false">IF($C278="","",IF(OR($C278="Receiving",$C278="Stock Count Adjustment"),$D278,-$D278))</f>
        <v/>
      </c>
      <c r="F278" s="5"/>
      <c r="G278" s="5"/>
      <c r="H278" s="5"/>
      <c r="I278" s="5"/>
      <c r="J278" s="5"/>
    </row>
    <row r="279" customFormat="false" ht="15" hidden="false" customHeight="false" outlineLevel="0" collapsed="false">
      <c r="A279" s="7" t="str">
        <f aca="false">IF($C279="","","M"&amp;TEXT(ROW()-1,"0000"))</f>
        <v/>
      </c>
      <c r="B279" s="5"/>
      <c r="C279" s="5"/>
      <c r="D279" s="5"/>
      <c r="E279" s="7" t="str">
        <f aca="false">IF($C279="","",IF(OR($C279="Receiving",$C279="Stock Count Adjustment"),$D279,-$D279))</f>
        <v/>
      </c>
      <c r="F279" s="5"/>
      <c r="G279" s="5"/>
      <c r="H279" s="5"/>
      <c r="I279" s="5"/>
      <c r="J279" s="5"/>
    </row>
    <row r="280" customFormat="false" ht="15" hidden="false" customHeight="false" outlineLevel="0" collapsed="false">
      <c r="A280" s="7" t="str">
        <f aca="false">IF($C280="","","M"&amp;TEXT(ROW()-1,"0000"))</f>
        <v/>
      </c>
      <c r="B280" s="5"/>
      <c r="C280" s="5"/>
      <c r="D280" s="5"/>
      <c r="E280" s="7" t="str">
        <f aca="false">IF($C280="","",IF(OR($C280="Receiving",$C280="Stock Count Adjustment"),$D280,-$D280))</f>
        <v/>
      </c>
      <c r="F280" s="5"/>
      <c r="G280" s="5"/>
      <c r="H280" s="5"/>
      <c r="I280" s="5"/>
      <c r="J280" s="5"/>
    </row>
    <row r="281" customFormat="false" ht="15" hidden="false" customHeight="false" outlineLevel="0" collapsed="false">
      <c r="A281" s="7" t="str">
        <f aca="false">IF($C281="","","M"&amp;TEXT(ROW()-1,"0000"))</f>
        <v/>
      </c>
      <c r="B281" s="5"/>
      <c r="C281" s="5"/>
      <c r="D281" s="5"/>
      <c r="E281" s="7" t="str">
        <f aca="false">IF($C281="","",IF(OR($C281="Receiving",$C281="Stock Count Adjustment"),$D281,-$D281))</f>
        <v/>
      </c>
      <c r="F281" s="5"/>
      <c r="G281" s="5"/>
      <c r="H281" s="5"/>
      <c r="I281" s="5"/>
      <c r="J281" s="5"/>
    </row>
    <row r="282" customFormat="false" ht="15" hidden="false" customHeight="false" outlineLevel="0" collapsed="false">
      <c r="A282" s="7" t="str">
        <f aca="false">IF($C282="","","M"&amp;TEXT(ROW()-1,"0000"))</f>
        <v/>
      </c>
      <c r="B282" s="5"/>
      <c r="C282" s="5"/>
      <c r="D282" s="5"/>
      <c r="E282" s="7" t="str">
        <f aca="false">IF($C282="","",IF(OR($C282="Receiving",$C282="Stock Count Adjustment"),$D282,-$D282))</f>
        <v/>
      </c>
      <c r="F282" s="5"/>
      <c r="G282" s="5"/>
      <c r="H282" s="5"/>
      <c r="I282" s="5"/>
      <c r="J282" s="5"/>
    </row>
    <row r="283" customFormat="false" ht="15" hidden="false" customHeight="false" outlineLevel="0" collapsed="false">
      <c r="A283" s="7" t="str">
        <f aca="false">IF($C283="","","M"&amp;TEXT(ROW()-1,"0000"))</f>
        <v/>
      </c>
      <c r="B283" s="5"/>
      <c r="C283" s="5"/>
      <c r="D283" s="5"/>
      <c r="E283" s="7" t="str">
        <f aca="false">IF($C283="","",IF(OR($C283="Receiving",$C283="Stock Count Adjustment"),$D283,-$D283))</f>
        <v/>
      </c>
      <c r="F283" s="5"/>
      <c r="G283" s="5"/>
      <c r="H283" s="5"/>
      <c r="I283" s="5"/>
      <c r="J283" s="5"/>
    </row>
    <row r="284" customFormat="false" ht="15" hidden="false" customHeight="false" outlineLevel="0" collapsed="false">
      <c r="A284" s="7" t="str">
        <f aca="false">IF($C284="","","M"&amp;TEXT(ROW()-1,"0000"))</f>
        <v/>
      </c>
      <c r="B284" s="5"/>
      <c r="C284" s="5"/>
      <c r="D284" s="5"/>
      <c r="E284" s="7" t="str">
        <f aca="false">IF($C284="","",IF(OR($C284="Receiving",$C284="Stock Count Adjustment"),$D284,-$D284))</f>
        <v/>
      </c>
      <c r="F284" s="5"/>
      <c r="G284" s="5"/>
      <c r="H284" s="5"/>
      <c r="I284" s="5"/>
      <c r="J284" s="5"/>
    </row>
    <row r="285" customFormat="false" ht="15" hidden="false" customHeight="false" outlineLevel="0" collapsed="false">
      <c r="A285" s="7" t="str">
        <f aca="false">IF($C285="","","M"&amp;TEXT(ROW()-1,"0000"))</f>
        <v/>
      </c>
      <c r="B285" s="5"/>
      <c r="C285" s="5"/>
      <c r="D285" s="5"/>
      <c r="E285" s="7" t="str">
        <f aca="false">IF($C285="","",IF(OR($C285="Receiving",$C285="Stock Count Adjustment"),$D285,-$D285))</f>
        <v/>
      </c>
      <c r="F285" s="5"/>
      <c r="G285" s="5"/>
      <c r="H285" s="5"/>
      <c r="I285" s="5"/>
      <c r="J285" s="5"/>
    </row>
    <row r="286" customFormat="false" ht="15" hidden="false" customHeight="false" outlineLevel="0" collapsed="false">
      <c r="A286" s="7" t="str">
        <f aca="false">IF($C286="","","M"&amp;TEXT(ROW()-1,"0000"))</f>
        <v/>
      </c>
      <c r="B286" s="5"/>
      <c r="C286" s="5"/>
      <c r="D286" s="5"/>
      <c r="E286" s="7" t="str">
        <f aca="false">IF($C286="","",IF(OR($C286="Receiving",$C286="Stock Count Adjustment"),$D286,-$D286))</f>
        <v/>
      </c>
      <c r="F286" s="5"/>
      <c r="G286" s="5"/>
      <c r="H286" s="5"/>
      <c r="I286" s="5"/>
      <c r="J286" s="5"/>
    </row>
    <row r="287" customFormat="false" ht="15" hidden="false" customHeight="false" outlineLevel="0" collapsed="false">
      <c r="A287" s="7" t="str">
        <f aca="false">IF($C287="","","M"&amp;TEXT(ROW()-1,"0000"))</f>
        <v/>
      </c>
      <c r="B287" s="5"/>
      <c r="C287" s="5"/>
      <c r="D287" s="5"/>
      <c r="E287" s="7" t="str">
        <f aca="false">IF($C287="","",IF(OR($C287="Receiving",$C287="Stock Count Adjustment"),$D287,-$D287))</f>
        <v/>
      </c>
      <c r="F287" s="5"/>
      <c r="G287" s="5"/>
      <c r="H287" s="5"/>
      <c r="I287" s="5"/>
      <c r="J287" s="5"/>
    </row>
    <row r="288" customFormat="false" ht="15" hidden="false" customHeight="false" outlineLevel="0" collapsed="false">
      <c r="A288" s="7" t="str">
        <f aca="false">IF($C288="","","M"&amp;TEXT(ROW()-1,"0000"))</f>
        <v/>
      </c>
      <c r="B288" s="5"/>
      <c r="C288" s="5"/>
      <c r="D288" s="5"/>
      <c r="E288" s="7" t="str">
        <f aca="false">IF($C288="","",IF(OR($C288="Receiving",$C288="Stock Count Adjustment"),$D288,-$D288))</f>
        <v/>
      </c>
      <c r="F288" s="5"/>
      <c r="G288" s="5"/>
      <c r="H288" s="5"/>
      <c r="I288" s="5"/>
      <c r="J288" s="5"/>
    </row>
    <row r="289" customFormat="false" ht="15" hidden="false" customHeight="false" outlineLevel="0" collapsed="false">
      <c r="A289" s="7" t="str">
        <f aca="false">IF($C289="","","M"&amp;TEXT(ROW()-1,"0000"))</f>
        <v/>
      </c>
      <c r="B289" s="5"/>
      <c r="C289" s="5"/>
      <c r="D289" s="5"/>
      <c r="E289" s="7" t="str">
        <f aca="false">IF($C289="","",IF(OR($C289="Receiving",$C289="Stock Count Adjustment"),$D289,-$D289))</f>
        <v/>
      </c>
      <c r="F289" s="5"/>
      <c r="G289" s="5"/>
      <c r="H289" s="5"/>
      <c r="I289" s="5"/>
      <c r="J289" s="5"/>
    </row>
    <row r="290" customFormat="false" ht="15" hidden="false" customHeight="false" outlineLevel="0" collapsed="false">
      <c r="A290" s="7" t="str">
        <f aca="false">IF($C290="","","M"&amp;TEXT(ROW()-1,"0000"))</f>
        <v/>
      </c>
      <c r="B290" s="5"/>
      <c r="C290" s="5"/>
      <c r="D290" s="5"/>
      <c r="E290" s="7" t="str">
        <f aca="false">IF($C290="","",IF(OR($C290="Receiving",$C290="Stock Count Adjustment"),$D290,-$D290))</f>
        <v/>
      </c>
      <c r="F290" s="5"/>
      <c r="G290" s="5"/>
      <c r="H290" s="5"/>
      <c r="I290" s="5"/>
      <c r="J290" s="5"/>
    </row>
    <row r="291" customFormat="false" ht="15" hidden="false" customHeight="false" outlineLevel="0" collapsed="false">
      <c r="A291" s="7" t="str">
        <f aca="false">IF($C291="","","M"&amp;TEXT(ROW()-1,"0000"))</f>
        <v/>
      </c>
      <c r="B291" s="5"/>
      <c r="C291" s="5"/>
      <c r="D291" s="5"/>
      <c r="E291" s="7" t="str">
        <f aca="false">IF($C291="","",IF(OR($C291="Receiving",$C291="Stock Count Adjustment"),$D291,-$D291))</f>
        <v/>
      </c>
      <c r="F291" s="5"/>
      <c r="G291" s="5"/>
      <c r="H291" s="5"/>
      <c r="I291" s="5"/>
      <c r="J291" s="5"/>
    </row>
    <row r="292" customFormat="false" ht="15" hidden="false" customHeight="false" outlineLevel="0" collapsed="false">
      <c r="A292" s="7" t="str">
        <f aca="false">IF($C292="","","M"&amp;TEXT(ROW()-1,"0000"))</f>
        <v/>
      </c>
      <c r="B292" s="5"/>
      <c r="C292" s="5"/>
      <c r="D292" s="5"/>
      <c r="E292" s="7" t="str">
        <f aca="false">IF($C292="","",IF(OR($C292="Receiving",$C292="Stock Count Adjustment"),$D292,-$D292))</f>
        <v/>
      </c>
      <c r="F292" s="5"/>
      <c r="G292" s="5"/>
      <c r="H292" s="5"/>
      <c r="I292" s="5"/>
      <c r="J292" s="5"/>
    </row>
    <row r="293" customFormat="false" ht="15" hidden="false" customHeight="false" outlineLevel="0" collapsed="false">
      <c r="A293" s="7" t="str">
        <f aca="false">IF($C293="","","M"&amp;TEXT(ROW()-1,"0000"))</f>
        <v/>
      </c>
      <c r="B293" s="5"/>
      <c r="C293" s="5"/>
      <c r="D293" s="5"/>
      <c r="E293" s="7" t="str">
        <f aca="false">IF($C293="","",IF(OR($C293="Receiving",$C293="Stock Count Adjustment"),$D293,-$D293))</f>
        <v/>
      </c>
      <c r="F293" s="5"/>
      <c r="G293" s="5"/>
      <c r="H293" s="5"/>
      <c r="I293" s="5"/>
      <c r="J293" s="5"/>
    </row>
    <row r="294" customFormat="false" ht="15" hidden="false" customHeight="false" outlineLevel="0" collapsed="false">
      <c r="A294" s="7" t="str">
        <f aca="false">IF($C294="","","M"&amp;TEXT(ROW()-1,"0000"))</f>
        <v/>
      </c>
      <c r="B294" s="5"/>
      <c r="C294" s="5"/>
      <c r="D294" s="5"/>
      <c r="E294" s="7" t="str">
        <f aca="false">IF($C294="","",IF(OR($C294="Receiving",$C294="Stock Count Adjustment"),$D294,-$D294))</f>
        <v/>
      </c>
      <c r="F294" s="5"/>
      <c r="G294" s="5"/>
      <c r="H294" s="5"/>
      <c r="I294" s="5"/>
      <c r="J294" s="5"/>
    </row>
    <row r="295" customFormat="false" ht="15" hidden="false" customHeight="false" outlineLevel="0" collapsed="false">
      <c r="A295" s="7" t="str">
        <f aca="false">IF($C295="","","M"&amp;TEXT(ROW()-1,"0000"))</f>
        <v/>
      </c>
      <c r="B295" s="5"/>
      <c r="C295" s="5"/>
      <c r="D295" s="5"/>
      <c r="E295" s="7" t="str">
        <f aca="false">IF($C295="","",IF(OR($C295="Receiving",$C295="Stock Count Adjustment"),$D295,-$D295))</f>
        <v/>
      </c>
      <c r="F295" s="5"/>
      <c r="G295" s="5"/>
      <c r="H295" s="5"/>
      <c r="I295" s="5"/>
      <c r="J295" s="5"/>
    </row>
    <row r="296" customFormat="false" ht="15" hidden="false" customHeight="false" outlineLevel="0" collapsed="false">
      <c r="A296" s="7" t="str">
        <f aca="false">IF($C296="","","M"&amp;TEXT(ROW()-1,"0000"))</f>
        <v/>
      </c>
      <c r="B296" s="5"/>
      <c r="C296" s="5"/>
      <c r="D296" s="5"/>
      <c r="E296" s="7" t="str">
        <f aca="false">IF($C296="","",IF(OR($C296="Receiving",$C296="Stock Count Adjustment"),$D296,-$D296))</f>
        <v/>
      </c>
      <c r="F296" s="5"/>
      <c r="G296" s="5"/>
      <c r="H296" s="5"/>
      <c r="I296" s="5"/>
      <c r="J296" s="5"/>
    </row>
    <row r="297" customFormat="false" ht="15" hidden="false" customHeight="false" outlineLevel="0" collapsed="false">
      <c r="A297" s="7" t="str">
        <f aca="false">IF($C297="","","M"&amp;TEXT(ROW()-1,"0000"))</f>
        <v/>
      </c>
      <c r="B297" s="5"/>
      <c r="C297" s="5"/>
      <c r="D297" s="5"/>
      <c r="E297" s="7" t="str">
        <f aca="false">IF($C297="","",IF(OR($C297="Receiving",$C297="Stock Count Adjustment"),$D297,-$D297))</f>
        <v/>
      </c>
      <c r="F297" s="5"/>
      <c r="G297" s="5"/>
      <c r="H297" s="5"/>
      <c r="I297" s="5"/>
      <c r="J297" s="5"/>
    </row>
    <row r="298" customFormat="false" ht="15" hidden="false" customHeight="false" outlineLevel="0" collapsed="false">
      <c r="A298" s="7" t="str">
        <f aca="false">IF($C298="","","M"&amp;TEXT(ROW()-1,"0000"))</f>
        <v/>
      </c>
      <c r="B298" s="5"/>
      <c r="C298" s="5"/>
      <c r="D298" s="5"/>
      <c r="E298" s="7" t="str">
        <f aca="false">IF($C298="","",IF(OR($C298="Receiving",$C298="Stock Count Adjustment"),$D298,-$D298))</f>
        <v/>
      </c>
      <c r="F298" s="5"/>
      <c r="G298" s="5"/>
      <c r="H298" s="5"/>
      <c r="I298" s="5"/>
      <c r="J298" s="5"/>
    </row>
    <row r="299" customFormat="false" ht="15" hidden="false" customHeight="false" outlineLevel="0" collapsed="false">
      <c r="A299" s="7" t="str">
        <f aca="false">IF($C299="","","M"&amp;TEXT(ROW()-1,"0000"))</f>
        <v/>
      </c>
      <c r="B299" s="5"/>
      <c r="C299" s="5"/>
      <c r="D299" s="5"/>
      <c r="E299" s="7" t="str">
        <f aca="false">IF($C299="","",IF(OR($C299="Receiving",$C299="Stock Count Adjustment"),$D299,-$D299))</f>
        <v/>
      </c>
      <c r="F299" s="5"/>
      <c r="G299" s="5"/>
      <c r="H299" s="5"/>
      <c r="I299" s="5"/>
      <c r="J299" s="5"/>
    </row>
    <row r="300" customFormat="false" ht="15" hidden="false" customHeight="false" outlineLevel="0" collapsed="false">
      <c r="A300" s="7" t="str">
        <f aca="false">IF($C300="","","M"&amp;TEXT(ROW()-1,"0000"))</f>
        <v/>
      </c>
      <c r="B300" s="5"/>
      <c r="C300" s="5"/>
      <c r="D300" s="5"/>
      <c r="E300" s="7" t="str">
        <f aca="false">IF($C300="","",IF(OR($C300="Receiving",$C300="Stock Count Adjustment"),$D300,-$D300))</f>
        <v/>
      </c>
      <c r="F300" s="5"/>
      <c r="G300" s="5"/>
      <c r="H300" s="5"/>
      <c r="I300" s="5"/>
      <c r="J300" s="5"/>
    </row>
    <row r="301" customFormat="false" ht="15" hidden="false" customHeight="false" outlineLevel="0" collapsed="false">
      <c r="A301" s="7" t="str">
        <f aca="false">IF($C301="","","M"&amp;TEXT(ROW()-1,"0000"))</f>
        <v/>
      </c>
      <c r="B301" s="5"/>
      <c r="C301" s="5"/>
      <c r="D301" s="5"/>
      <c r="E301" s="7" t="str">
        <f aca="false">IF($C301="","",IF(OR($C301="Receiving",$C301="Stock Count Adjustment"),$D301,-$D301))</f>
        <v/>
      </c>
      <c r="F301" s="5"/>
      <c r="G301" s="5"/>
      <c r="H301" s="5"/>
      <c r="I301" s="5"/>
      <c r="J301" s="5"/>
    </row>
    <row r="302" customFormat="false" ht="15" hidden="false" customHeight="false" outlineLevel="0" collapsed="false">
      <c r="A302" s="7" t="str">
        <f aca="false">IF($C302="","","M"&amp;TEXT(ROW()-1,"0000"))</f>
        <v/>
      </c>
      <c r="B302" s="5"/>
      <c r="C302" s="5"/>
      <c r="D302" s="5"/>
      <c r="E302" s="7" t="str">
        <f aca="false">IF($C302="","",IF(OR($C302="Receiving",$C302="Stock Count Adjustment"),$D302,-$D302))</f>
        <v/>
      </c>
      <c r="F302" s="5"/>
      <c r="G302" s="5"/>
      <c r="H302" s="5"/>
      <c r="I302" s="5"/>
      <c r="J302" s="5"/>
    </row>
    <row r="303" customFormat="false" ht="15" hidden="false" customHeight="false" outlineLevel="0" collapsed="false">
      <c r="A303" s="7" t="str">
        <f aca="false">IF($C303="","","M"&amp;TEXT(ROW()-1,"0000"))</f>
        <v/>
      </c>
      <c r="B303" s="5"/>
      <c r="C303" s="5"/>
      <c r="D303" s="5"/>
      <c r="E303" s="7" t="str">
        <f aca="false">IF($C303="","",IF(OR($C303="Receiving",$C303="Stock Count Adjustment"),$D303,-$D303))</f>
        <v/>
      </c>
      <c r="F303" s="5"/>
      <c r="G303" s="5"/>
      <c r="H303" s="5"/>
      <c r="I303" s="5"/>
      <c r="J303" s="5"/>
    </row>
    <row r="304" customFormat="false" ht="15" hidden="false" customHeight="false" outlineLevel="0" collapsed="false">
      <c r="A304" s="7" t="str">
        <f aca="false">IF($C304="","","M"&amp;TEXT(ROW()-1,"0000"))</f>
        <v/>
      </c>
      <c r="B304" s="5"/>
      <c r="C304" s="5"/>
      <c r="D304" s="5"/>
      <c r="E304" s="7" t="str">
        <f aca="false">IF($C304="","",IF(OR($C304="Receiving",$C304="Stock Count Adjustment"),$D304,-$D304))</f>
        <v/>
      </c>
      <c r="F304" s="5"/>
      <c r="G304" s="5"/>
      <c r="H304" s="5"/>
      <c r="I304" s="5"/>
      <c r="J304" s="5"/>
    </row>
    <row r="305" customFormat="false" ht="15" hidden="false" customHeight="false" outlineLevel="0" collapsed="false">
      <c r="A305" s="7" t="str">
        <f aca="false">IF($C305="","","M"&amp;TEXT(ROW()-1,"0000"))</f>
        <v/>
      </c>
      <c r="B305" s="5"/>
      <c r="C305" s="5"/>
      <c r="D305" s="5"/>
      <c r="E305" s="7" t="str">
        <f aca="false">IF($C305="","",IF(OR($C305="Receiving",$C305="Stock Count Adjustment"),$D305,-$D305))</f>
        <v/>
      </c>
      <c r="F305" s="5"/>
      <c r="G305" s="5"/>
      <c r="H305" s="5"/>
      <c r="I305" s="5"/>
      <c r="J305" s="5"/>
    </row>
    <row r="306" customFormat="false" ht="15" hidden="false" customHeight="false" outlineLevel="0" collapsed="false">
      <c r="A306" s="7" t="str">
        <f aca="false">IF($C306="","","M"&amp;TEXT(ROW()-1,"0000"))</f>
        <v/>
      </c>
      <c r="B306" s="5"/>
      <c r="C306" s="5"/>
      <c r="D306" s="5"/>
      <c r="E306" s="7" t="str">
        <f aca="false">IF($C306="","",IF(OR($C306="Receiving",$C306="Stock Count Adjustment"),$D306,-$D306))</f>
        <v/>
      </c>
      <c r="F306" s="5"/>
      <c r="G306" s="5"/>
      <c r="H306" s="5"/>
      <c r="I306" s="5"/>
      <c r="J306" s="5"/>
    </row>
    <row r="307" customFormat="false" ht="15" hidden="false" customHeight="false" outlineLevel="0" collapsed="false">
      <c r="A307" s="7" t="str">
        <f aca="false">IF($C307="","","M"&amp;TEXT(ROW()-1,"0000"))</f>
        <v/>
      </c>
      <c r="B307" s="5"/>
      <c r="C307" s="5"/>
      <c r="D307" s="5"/>
      <c r="E307" s="7" t="str">
        <f aca="false">IF($C307="","",IF(OR($C307="Receiving",$C307="Stock Count Adjustment"),$D307,-$D307))</f>
        <v/>
      </c>
      <c r="F307" s="5"/>
      <c r="G307" s="5"/>
      <c r="H307" s="5"/>
      <c r="I307" s="5"/>
      <c r="J307" s="5"/>
    </row>
    <row r="308" customFormat="false" ht="15" hidden="false" customHeight="false" outlineLevel="0" collapsed="false">
      <c r="A308" s="7" t="str">
        <f aca="false">IF($C308="","","M"&amp;TEXT(ROW()-1,"0000"))</f>
        <v/>
      </c>
      <c r="B308" s="5"/>
      <c r="C308" s="5"/>
      <c r="D308" s="5"/>
      <c r="E308" s="7" t="str">
        <f aca="false">IF($C308="","",IF(OR($C308="Receiving",$C308="Stock Count Adjustment"),$D308,-$D308))</f>
        <v/>
      </c>
      <c r="F308" s="5"/>
      <c r="G308" s="5"/>
      <c r="H308" s="5"/>
      <c r="I308" s="5"/>
      <c r="J308" s="5"/>
    </row>
    <row r="309" customFormat="false" ht="15" hidden="false" customHeight="false" outlineLevel="0" collapsed="false">
      <c r="A309" s="7" t="str">
        <f aca="false">IF($C309="","","M"&amp;TEXT(ROW()-1,"0000"))</f>
        <v/>
      </c>
      <c r="B309" s="5"/>
      <c r="C309" s="5"/>
      <c r="D309" s="5"/>
      <c r="E309" s="7" t="str">
        <f aca="false">IF($C309="","",IF(OR($C309="Receiving",$C309="Stock Count Adjustment"),$D309,-$D309))</f>
        <v/>
      </c>
      <c r="F309" s="5"/>
      <c r="G309" s="5"/>
      <c r="H309" s="5"/>
      <c r="I309" s="5"/>
      <c r="J309" s="5"/>
    </row>
    <row r="310" customFormat="false" ht="15" hidden="false" customHeight="false" outlineLevel="0" collapsed="false">
      <c r="A310" s="7" t="str">
        <f aca="false">IF($C310="","","M"&amp;TEXT(ROW()-1,"0000"))</f>
        <v/>
      </c>
      <c r="B310" s="5"/>
      <c r="C310" s="5"/>
      <c r="D310" s="5"/>
      <c r="E310" s="7" t="str">
        <f aca="false">IF($C310="","",IF(OR($C310="Receiving",$C310="Stock Count Adjustment"),$D310,-$D310))</f>
        <v/>
      </c>
      <c r="F310" s="5"/>
      <c r="G310" s="5"/>
      <c r="H310" s="5"/>
      <c r="I310" s="5"/>
      <c r="J310" s="5"/>
    </row>
    <row r="311" customFormat="false" ht="15" hidden="false" customHeight="false" outlineLevel="0" collapsed="false">
      <c r="A311" s="7" t="str">
        <f aca="false">IF($C311="","","M"&amp;TEXT(ROW()-1,"0000"))</f>
        <v/>
      </c>
      <c r="B311" s="5"/>
      <c r="C311" s="5"/>
      <c r="D311" s="5"/>
      <c r="E311" s="7" t="str">
        <f aca="false">IF($C311="","",IF(OR($C311="Receiving",$C311="Stock Count Adjustment"),$D311,-$D311))</f>
        <v/>
      </c>
      <c r="F311" s="5"/>
      <c r="G311" s="5"/>
      <c r="H311" s="5"/>
      <c r="I311" s="5"/>
      <c r="J311" s="5"/>
    </row>
    <row r="312" customFormat="false" ht="15" hidden="false" customHeight="false" outlineLevel="0" collapsed="false">
      <c r="A312" s="7" t="str">
        <f aca="false">IF($C312="","","M"&amp;TEXT(ROW()-1,"0000"))</f>
        <v/>
      </c>
      <c r="B312" s="5"/>
      <c r="C312" s="5"/>
      <c r="D312" s="5"/>
      <c r="E312" s="7" t="str">
        <f aca="false">IF($C312="","",IF(OR($C312="Receiving",$C312="Stock Count Adjustment"),$D312,-$D312))</f>
        <v/>
      </c>
      <c r="F312" s="5"/>
      <c r="G312" s="5"/>
      <c r="H312" s="5"/>
      <c r="I312" s="5"/>
      <c r="J312" s="5"/>
    </row>
    <row r="313" customFormat="false" ht="15" hidden="false" customHeight="false" outlineLevel="0" collapsed="false">
      <c r="A313" s="7" t="str">
        <f aca="false">IF($C313="","","M"&amp;TEXT(ROW()-1,"0000"))</f>
        <v/>
      </c>
      <c r="B313" s="5"/>
      <c r="C313" s="5"/>
      <c r="D313" s="5"/>
      <c r="E313" s="7" t="str">
        <f aca="false">IF($C313="","",IF(OR($C313="Receiving",$C313="Stock Count Adjustment"),$D313,-$D313))</f>
        <v/>
      </c>
      <c r="F313" s="5"/>
      <c r="G313" s="5"/>
      <c r="H313" s="5"/>
      <c r="I313" s="5"/>
      <c r="J313" s="5"/>
    </row>
    <row r="314" customFormat="false" ht="15" hidden="false" customHeight="false" outlineLevel="0" collapsed="false">
      <c r="A314" s="7" t="str">
        <f aca="false">IF($C314="","","M"&amp;TEXT(ROW()-1,"0000"))</f>
        <v/>
      </c>
      <c r="B314" s="5"/>
      <c r="C314" s="5"/>
      <c r="D314" s="5"/>
      <c r="E314" s="7" t="str">
        <f aca="false">IF($C314="","",IF(OR($C314="Receiving",$C314="Stock Count Adjustment"),$D314,-$D314))</f>
        <v/>
      </c>
      <c r="F314" s="5"/>
      <c r="G314" s="5"/>
      <c r="H314" s="5"/>
      <c r="I314" s="5"/>
      <c r="J314" s="5"/>
    </row>
    <row r="315" customFormat="false" ht="15" hidden="false" customHeight="false" outlineLevel="0" collapsed="false">
      <c r="A315" s="7" t="str">
        <f aca="false">IF($C315="","","M"&amp;TEXT(ROW()-1,"0000"))</f>
        <v/>
      </c>
      <c r="B315" s="5"/>
      <c r="C315" s="5"/>
      <c r="D315" s="5"/>
      <c r="E315" s="7" t="str">
        <f aca="false">IF($C315="","",IF(OR($C315="Receiving",$C315="Stock Count Adjustment"),$D315,-$D315))</f>
        <v/>
      </c>
      <c r="F315" s="5"/>
      <c r="G315" s="5"/>
      <c r="H315" s="5"/>
      <c r="I315" s="5"/>
      <c r="J315" s="5"/>
    </row>
    <row r="316" customFormat="false" ht="15" hidden="false" customHeight="false" outlineLevel="0" collapsed="false">
      <c r="A316" s="7" t="str">
        <f aca="false">IF($C316="","","M"&amp;TEXT(ROW()-1,"0000"))</f>
        <v/>
      </c>
      <c r="B316" s="5"/>
      <c r="C316" s="5"/>
      <c r="D316" s="5"/>
      <c r="E316" s="7" t="str">
        <f aca="false">IF($C316="","",IF(OR($C316="Receiving",$C316="Stock Count Adjustment"),$D316,-$D316))</f>
        <v/>
      </c>
      <c r="F316" s="5"/>
      <c r="G316" s="5"/>
      <c r="H316" s="5"/>
      <c r="I316" s="5"/>
      <c r="J316" s="5"/>
    </row>
    <row r="317" customFormat="false" ht="15" hidden="false" customHeight="false" outlineLevel="0" collapsed="false">
      <c r="A317" s="7" t="str">
        <f aca="false">IF($C317="","","M"&amp;TEXT(ROW()-1,"0000"))</f>
        <v/>
      </c>
      <c r="B317" s="5"/>
      <c r="C317" s="5"/>
      <c r="D317" s="5"/>
      <c r="E317" s="7" t="str">
        <f aca="false">IF($C317="","",IF(OR($C317="Receiving",$C317="Stock Count Adjustment"),$D317,-$D317))</f>
        <v/>
      </c>
      <c r="F317" s="5"/>
      <c r="G317" s="5"/>
      <c r="H317" s="5"/>
      <c r="I317" s="5"/>
      <c r="J317" s="5"/>
    </row>
    <row r="318" customFormat="false" ht="15" hidden="false" customHeight="false" outlineLevel="0" collapsed="false">
      <c r="A318" s="7" t="str">
        <f aca="false">IF($C318="","","M"&amp;TEXT(ROW()-1,"0000"))</f>
        <v/>
      </c>
      <c r="B318" s="5"/>
      <c r="C318" s="5"/>
      <c r="D318" s="5"/>
      <c r="E318" s="7" t="str">
        <f aca="false">IF($C318="","",IF(OR($C318="Receiving",$C318="Stock Count Adjustment"),$D318,-$D318))</f>
        <v/>
      </c>
      <c r="F318" s="5"/>
      <c r="G318" s="5"/>
      <c r="H318" s="5"/>
      <c r="I318" s="5"/>
      <c r="J318" s="5"/>
    </row>
    <row r="319" customFormat="false" ht="15" hidden="false" customHeight="false" outlineLevel="0" collapsed="false">
      <c r="A319" s="7" t="str">
        <f aca="false">IF($C319="","","M"&amp;TEXT(ROW()-1,"0000"))</f>
        <v/>
      </c>
      <c r="B319" s="5"/>
      <c r="C319" s="5"/>
      <c r="D319" s="5"/>
      <c r="E319" s="7" t="str">
        <f aca="false">IF($C319="","",IF(OR($C319="Receiving",$C319="Stock Count Adjustment"),$D319,-$D319))</f>
        <v/>
      </c>
      <c r="F319" s="5"/>
      <c r="G319" s="5"/>
      <c r="H319" s="5"/>
      <c r="I319" s="5"/>
      <c r="J319" s="5"/>
    </row>
    <row r="320" customFormat="false" ht="15" hidden="false" customHeight="false" outlineLevel="0" collapsed="false">
      <c r="A320" s="7" t="str">
        <f aca="false">IF($C320="","","M"&amp;TEXT(ROW()-1,"0000"))</f>
        <v/>
      </c>
      <c r="B320" s="5"/>
      <c r="C320" s="5"/>
      <c r="D320" s="5"/>
      <c r="E320" s="7" t="str">
        <f aca="false">IF($C320="","",IF(OR($C320="Receiving",$C320="Stock Count Adjustment"),$D320,-$D320))</f>
        <v/>
      </c>
      <c r="F320" s="5"/>
      <c r="G320" s="5"/>
      <c r="H320" s="5"/>
      <c r="I320" s="5"/>
      <c r="J320" s="5"/>
    </row>
    <row r="321" customFormat="false" ht="15" hidden="false" customHeight="false" outlineLevel="0" collapsed="false">
      <c r="A321" s="7" t="str">
        <f aca="false">IF($C321="","","M"&amp;TEXT(ROW()-1,"0000"))</f>
        <v/>
      </c>
      <c r="B321" s="5"/>
      <c r="C321" s="5"/>
      <c r="D321" s="5"/>
      <c r="E321" s="7" t="str">
        <f aca="false">IF($C321="","",IF(OR($C321="Receiving",$C321="Stock Count Adjustment"),$D321,-$D321))</f>
        <v/>
      </c>
      <c r="F321" s="5"/>
      <c r="G321" s="5"/>
      <c r="H321" s="5"/>
      <c r="I321" s="5"/>
      <c r="J321" s="5"/>
    </row>
    <row r="322" customFormat="false" ht="15" hidden="false" customHeight="false" outlineLevel="0" collapsed="false">
      <c r="A322" s="7" t="str">
        <f aca="false">IF($C322="","","M"&amp;TEXT(ROW()-1,"0000"))</f>
        <v/>
      </c>
      <c r="B322" s="5"/>
      <c r="C322" s="5"/>
      <c r="D322" s="5"/>
      <c r="E322" s="7" t="str">
        <f aca="false">IF($C322="","",IF(OR($C322="Receiving",$C322="Stock Count Adjustment"),$D322,-$D322))</f>
        <v/>
      </c>
      <c r="F322" s="5"/>
      <c r="G322" s="5"/>
      <c r="H322" s="5"/>
      <c r="I322" s="5"/>
      <c r="J322" s="5"/>
    </row>
    <row r="323" customFormat="false" ht="15" hidden="false" customHeight="false" outlineLevel="0" collapsed="false">
      <c r="A323" s="7" t="str">
        <f aca="false">IF($C323="","","M"&amp;TEXT(ROW()-1,"0000"))</f>
        <v/>
      </c>
      <c r="B323" s="5"/>
      <c r="C323" s="5"/>
      <c r="D323" s="5"/>
      <c r="E323" s="7" t="str">
        <f aca="false">IF($C323="","",IF(OR($C323="Receiving",$C323="Stock Count Adjustment"),$D323,-$D323))</f>
        <v/>
      </c>
      <c r="F323" s="5"/>
      <c r="G323" s="5"/>
      <c r="H323" s="5"/>
      <c r="I323" s="5"/>
      <c r="J323" s="5"/>
    </row>
    <row r="324" customFormat="false" ht="15" hidden="false" customHeight="false" outlineLevel="0" collapsed="false">
      <c r="A324" s="7" t="str">
        <f aca="false">IF($C324="","","M"&amp;TEXT(ROW()-1,"0000"))</f>
        <v/>
      </c>
      <c r="B324" s="5"/>
      <c r="C324" s="5"/>
      <c r="D324" s="5"/>
      <c r="E324" s="7" t="str">
        <f aca="false">IF($C324="","",IF(OR($C324="Receiving",$C324="Stock Count Adjustment"),$D324,-$D324))</f>
        <v/>
      </c>
      <c r="F324" s="5"/>
      <c r="G324" s="5"/>
      <c r="H324" s="5"/>
      <c r="I324" s="5"/>
      <c r="J324" s="5"/>
    </row>
    <row r="325" customFormat="false" ht="15" hidden="false" customHeight="false" outlineLevel="0" collapsed="false">
      <c r="A325" s="7" t="str">
        <f aca="false">IF($C325="","","M"&amp;TEXT(ROW()-1,"0000"))</f>
        <v/>
      </c>
      <c r="B325" s="5"/>
      <c r="C325" s="5"/>
      <c r="D325" s="5"/>
      <c r="E325" s="7" t="str">
        <f aca="false">IF($C325="","",IF(OR($C325="Receiving",$C325="Stock Count Adjustment"),$D325,-$D325))</f>
        <v/>
      </c>
      <c r="F325" s="5"/>
      <c r="G325" s="5"/>
      <c r="H325" s="5"/>
      <c r="I325" s="5"/>
      <c r="J325" s="5"/>
    </row>
    <row r="326" customFormat="false" ht="15" hidden="false" customHeight="false" outlineLevel="0" collapsed="false">
      <c r="A326" s="7" t="str">
        <f aca="false">IF($C326="","","M"&amp;TEXT(ROW()-1,"0000"))</f>
        <v/>
      </c>
      <c r="B326" s="5"/>
      <c r="C326" s="5"/>
      <c r="D326" s="5"/>
      <c r="E326" s="7" t="str">
        <f aca="false">IF($C326="","",IF(OR($C326="Receiving",$C326="Stock Count Adjustment"),$D326,-$D326))</f>
        <v/>
      </c>
      <c r="F326" s="5"/>
      <c r="G326" s="5"/>
      <c r="H326" s="5"/>
      <c r="I326" s="5"/>
      <c r="J326" s="5"/>
    </row>
    <row r="327" customFormat="false" ht="15" hidden="false" customHeight="false" outlineLevel="0" collapsed="false">
      <c r="A327" s="7" t="str">
        <f aca="false">IF($C327="","","M"&amp;TEXT(ROW()-1,"0000"))</f>
        <v/>
      </c>
      <c r="B327" s="5"/>
      <c r="C327" s="5"/>
      <c r="D327" s="5"/>
      <c r="E327" s="7" t="str">
        <f aca="false">IF($C327="","",IF(OR($C327="Receiving",$C327="Stock Count Adjustment"),$D327,-$D327))</f>
        <v/>
      </c>
      <c r="F327" s="5"/>
      <c r="G327" s="5"/>
      <c r="H327" s="5"/>
      <c r="I327" s="5"/>
      <c r="J327" s="5"/>
    </row>
    <row r="328" customFormat="false" ht="15" hidden="false" customHeight="false" outlineLevel="0" collapsed="false">
      <c r="A328" s="7" t="str">
        <f aca="false">IF($C328="","","M"&amp;TEXT(ROW()-1,"0000"))</f>
        <v/>
      </c>
      <c r="B328" s="5"/>
      <c r="C328" s="5"/>
      <c r="D328" s="5"/>
      <c r="E328" s="7" t="str">
        <f aca="false">IF($C328="","",IF(OR($C328="Receiving",$C328="Stock Count Adjustment"),$D328,-$D328))</f>
        <v/>
      </c>
      <c r="F328" s="5"/>
      <c r="G328" s="5"/>
      <c r="H328" s="5"/>
      <c r="I328" s="5"/>
      <c r="J328" s="5"/>
    </row>
    <row r="329" customFormat="false" ht="15" hidden="false" customHeight="false" outlineLevel="0" collapsed="false">
      <c r="A329" s="7" t="str">
        <f aca="false">IF($C329="","","M"&amp;TEXT(ROW()-1,"0000"))</f>
        <v/>
      </c>
      <c r="B329" s="5"/>
      <c r="C329" s="5"/>
      <c r="D329" s="5"/>
      <c r="E329" s="7" t="str">
        <f aca="false">IF($C329="","",IF(OR($C329="Receiving",$C329="Stock Count Adjustment"),$D329,-$D329))</f>
        <v/>
      </c>
      <c r="F329" s="5"/>
      <c r="G329" s="5"/>
      <c r="H329" s="5"/>
      <c r="I329" s="5"/>
      <c r="J329" s="5"/>
    </row>
    <row r="330" customFormat="false" ht="15" hidden="false" customHeight="false" outlineLevel="0" collapsed="false">
      <c r="A330" s="7" t="str">
        <f aca="false">IF($C330="","","M"&amp;TEXT(ROW()-1,"0000"))</f>
        <v/>
      </c>
      <c r="B330" s="5"/>
      <c r="C330" s="5"/>
      <c r="D330" s="5"/>
      <c r="E330" s="7" t="str">
        <f aca="false">IF($C330="","",IF(OR($C330="Receiving",$C330="Stock Count Adjustment"),$D330,-$D330))</f>
        <v/>
      </c>
      <c r="F330" s="5"/>
      <c r="G330" s="5"/>
      <c r="H330" s="5"/>
      <c r="I330" s="5"/>
      <c r="J330" s="5"/>
    </row>
    <row r="331" customFormat="false" ht="15" hidden="false" customHeight="false" outlineLevel="0" collapsed="false">
      <c r="A331" s="7" t="str">
        <f aca="false">IF($C331="","","M"&amp;TEXT(ROW()-1,"0000"))</f>
        <v/>
      </c>
      <c r="B331" s="5"/>
      <c r="C331" s="5"/>
      <c r="D331" s="5"/>
      <c r="E331" s="7" t="str">
        <f aca="false">IF($C331="","",IF(OR($C331="Receiving",$C331="Stock Count Adjustment"),$D331,-$D331))</f>
        <v/>
      </c>
      <c r="F331" s="5"/>
      <c r="G331" s="5"/>
      <c r="H331" s="5"/>
      <c r="I331" s="5"/>
      <c r="J331" s="5"/>
    </row>
    <row r="332" customFormat="false" ht="15" hidden="false" customHeight="false" outlineLevel="0" collapsed="false">
      <c r="A332" s="7" t="str">
        <f aca="false">IF($C332="","","M"&amp;TEXT(ROW()-1,"0000"))</f>
        <v/>
      </c>
      <c r="B332" s="5"/>
      <c r="C332" s="5"/>
      <c r="D332" s="5"/>
      <c r="E332" s="7" t="str">
        <f aca="false">IF($C332="","",IF(OR($C332="Receiving",$C332="Stock Count Adjustment"),$D332,-$D332))</f>
        <v/>
      </c>
      <c r="F332" s="5"/>
      <c r="G332" s="5"/>
      <c r="H332" s="5"/>
      <c r="I332" s="5"/>
      <c r="J332" s="5"/>
    </row>
    <row r="333" customFormat="false" ht="15" hidden="false" customHeight="false" outlineLevel="0" collapsed="false">
      <c r="A333" s="7" t="str">
        <f aca="false">IF($C333="","","M"&amp;TEXT(ROW()-1,"0000"))</f>
        <v/>
      </c>
      <c r="B333" s="5"/>
      <c r="C333" s="5"/>
      <c r="D333" s="5"/>
      <c r="E333" s="7" t="str">
        <f aca="false">IF($C333="","",IF(OR($C333="Receiving",$C333="Stock Count Adjustment"),$D333,-$D333))</f>
        <v/>
      </c>
      <c r="F333" s="5"/>
      <c r="G333" s="5"/>
      <c r="H333" s="5"/>
      <c r="I333" s="5"/>
      <c r="J333" s="5"/>
    </row>
    <row r="334" customFormat="false" ht="15" hidden="false" customHeight="false" outlineLevel="0" collapsed="false">
      <c r="A334" s="7" t="str">
        <f aca="false">IF($C334="","","M"&amp;TEXT(ROW()-1,"0000"))</f>
        <v/>
      </c>
      <c r="B334" s="5"/>
      <c r="C334" s="5"/>
      <c r="D334" s="5"/>
      <c r="E334" s="7" t="str">
        <f aca="false">IF($C334="","",IF(OR($C334="Receiving",$C334="Stock Count Adjustment"),$D334,-$D334))</f>
        <v/>
      </c>
      <c r="F334" s="5"/>
      <c r="G334" s="5"/>
      <c r="H334" s="5"/>
      <c r="I334" s="5"/>
      <c r="J334" s="5"/>
    </row>
    <row r="335" customFormat="false" ht="15" hidden="false" customHeight="false" outlineLevel="0" collapsed="false">
      <c r="A335" s="7" t="str">
        <f aca="false">IF($C335="","","M"&amp;TEXT(ROW()-1,"0000"))</f>
        <v/>
      </c>
      <c r="B335" s="5"/>
      <c r="C335" s="5"/>
      <c r="D335" s="5"/>
      <c r="E335" s="7" t="str">
        <f aca="false">IF($C335="","",IF(OR($C335="Receiving",$C335="Stock Count Adjustment"),$D335,-$D335))</f>
        <v/>
      </c>
      <c r="F335" s="5"/>
      <c r="G335" s="5"/>
      <c r="H335" s="5"/>
      <c r="I335" s="5"/>
      <c r="J335" s="5"/>
    </row>
    <row r="336" customFormat="false" ht="15" hidden="false" customHeight="false" outlineLevel="0" collapsed="false">
      <c r="A336" s="7" t="str">
        <f aca="false">IF($C336="","","M"&amp;TEXT(ROW()-1,"0000"))</f>
        <v/>
      </c>
      <c r="B336" s="5"/>
      <c r="C336" s="5"/>
      <c r="D336" s="5"/>
      <c r="E336" s="7" t="str">
        <f aca="false">IF($C336="","",IF(OR($C336="Receiving",$C336="Stock Count Adjustment"),$D336,-$D336))</f>
        <v/>
      </c>
      <c r="F336" s="5"/>
      <c r="G336" s="5"/>
      <c r="H336" s="5"/>
      <c r="I336" s="5"/>
      <c r="J336" s="5"/>
    </row>
    <row r="337" customFormat="false" ht="15" hidden="false" customHeight="false" outlineLevel="0" collapsed="false">
      <c r="A337" s="7" t="str">
        <f aca="false">IF($C337="","","M"&amp;TEXT(ROW()-1,"0000"))</f>
        <v/>
      </c>
      <c r="B337" s="5"/>
      <c r="C337" s="5"/>
      <c r="D337" s="5"/>
      <c r="E337" s="7" t="str">
        <f aca="false">IF($C337="","",IF(OR($C337="Receiving",$C337="Stock Count Adjustment"),$D337,-$D337))</f>
        <v/>
      </c>
      <c r="F337" s="5"/>
      <c r="G337" s="5"/>
      <c r="H337" s="5"/>
      <c r="I337" s="5"/>
      <c r="J337" s="5"/>
    </row>
    <row r="338" customFormat="false" ht="15" hidden="false" customHeight="false" outlineLevel="0" collapsed="false">
      <c r="A338" s="7" t="str">
        <f aca="false">IF($C338="","","M"&amp;TEXT(ROW()-1,"0000"))</f>
        <v/>
      </c>
      <c r="B338" s="5"/>
      <c r="C338" s="5"/>
      <c r="D338" s="5"/>
      <c r="E338" s="7" t="str">
        <f aca="false">IF($C338="","",IF(OR($C338="Receiving",$C338="Stock Count Adjustment"),$D338,-$D338))</f>
        <v/>
      </c>
      <c r="F338" s="5"/>
      <c r="G338" s="5"/>
      <c r="H338" s="5"/>
      <c r="I338" s="5"/>
      <c r="J338" s="5"/>
    </row>
    <row r="339" customFormat="false" ht="15" hidden="false" customHeight="false" outlineLevel="0" collapsed="false">
      <c r="A339" s="7" t="str">
        <f aca="false">IF($C339="","","M"&amp;TEXT(ROW()-1,"0000"))</f>
        <v/>
      </c>
      <c r="B339" s="5"/>
      <c r="C339" s="5"/>
      <c r="D339" s="5"/>
      <c r="E339" s="7" t="str">
        <f aca="false">IF($C339="","",IF(OR($C339="Receiving",$C339="Stock Count Adjustment"),$D339,-$D339))</f>
        <v/>
      </c>
      <c r="F339" s="5"/>
      <c r="G339" s="5"/>
      <c r="H339" s="5"/>
      <c r="I339" s="5"/>
      <c r="J339" s="5"/>
    </row>
    <row r="340" customFormat="false" ht="15" hidden="false" customHeight="false" outlineLevel="0" collapsed="false">
      <c r="A340" s="7" t="str">
        <f aca="false">IF($C340="","","M"&amp;TEXT(ROW()-1,"0000"))</f>
        <v/>
      </c>
      <c r="B340" s="5"/>
      <c r="C340" s="5"/>
      <c r="D340" s="5"/>
      <c r="E340" s="7" t="str">
        <f aca="false">IF($C340="","",IF(OR($C340="Receiving",$C340="Stock Count Adjustment"),$D340,-$D340))</f>
        <v/>
      </c>
      <c r="F340" s="5"/>
      <c r="G340" s="5"/>
      <c r="H340" s="5"/>
      <c r="I340" s="5"/>
      <c r="J340" s="5"/>
    </row>
    <row r="341" customFormat="false" ht="15" hidden="false" customHeight="false" outlineLevel="0" collapsed="false">
      <c r="A341" s="7" t="str">
        <f aca="false">IF($C341="","","M"&amp;TEXT(ROW()-1,"0000"))</f>
        <v/>
      </c>
      <c r="B341" s="5"/>
      <c r="C341" s="5"/>
      <c r="D341" s="5"/>
      <c r="E341" s="7" t="str">
        <f aca="false">IF($C341="","",IF(OR($C341="Receiving",$C341="Stock Count Adjustment"),$D341,-$D341))</f>
        <v/>
      </c>
      <c r="F341" s="5"/>
      <c r="G341" s="5"/>
      <c r="H341" s="5"/>
      <c r="I341" s="5"/>
      <c r="J341" s="5"/>
    </row>
    <row r="342" customFormat="false" ht="15" hidden="false" customHeight="false" outlineLevel="0" collapsed="false">
      <c r="A342" s="7" t="str">
        <f aca="false">IF($C342="","","M"&amp;TEXT(ROW()-1,"0000"))</f>
        <v/>
      </c>
      <c r="B342" s="5"/>
      <c r="C342" s="5"/>
      <c r="D342" s="5"/>
      <c r="E342" s="7" t="str">
        <f aca="false">IF($C342="","",IF(OR($C342="Receiving",$C342="Stock Count Adjustment"),$D342,-$D342))</f>
        <v/>
      </c>
      <c r="F342" s="5"/>
      <c r="G342" s="5"/>
      <c r="H342" s="5"/>
      <c r="I342" s="5"/>
      <c r="J342" s="5"/>
    </row>
    <row r="343" customFormat="false" ht="15" hidden="false" customHeight="false" outlineLevel="0" collapsed="false">
      <c r="A343" s="7" t="str">
        <f aca="false">IF($C343="","","M"&amp;TEXT(ROW()-1,"0000"))</f>
        <v/>
      </c>
      <c r="B343" s="5"/>
      <c r="C343" s="5"/>
      <c r="D343" s="5"/>
      <c r="E343" s="7" t="str">
        <f aca="false">IF($C343="","",IF(OR($C343="Receiving",$C343="Stock Count Adjustment"),$D343,-$D343))</f>
        <v/>
      </c>
      <c r="F343" s="5"/>
      <c r="G343" s="5"/>
      <c r="H343" s="5"/>
      <c r="I343" s="5"/>
      <c r="J343" s="5"/>
    </row>
    <row r="344" customFormat="false" ht="15" hidden="false" customHeight="false" outlineLevel="0" collapsed="false">
      <c r="A344" s="7" t="str">
        <f aca="false">IF($C344="","","M"&amp;TEXT(ROW()-1,"0000"))</f>
        <v/>
      </c>
      <c r="B344" s="5"/>
      <c r="C344" s="5"/>
      <c r="D344" s="5"/>
      <c r="E344" s="7" t="str">
        <f aca="false">IF($C344="","",IF(OR($C344="Receiving",$C344="Stock Count Adjustment"),$D344,-$D344))</f>
        <v/>
      </c>
      <c r="F344" s="5"/>
      <c r="G344" s="5"/>
      <c r="H344" s="5"/>
      <c r="I344" s="5"/>
      <c r="J344" s="5"/>
    </row>
    <row r="345" customFormat="false" ht="15" hidden="false" customHeight="false" outlineLevel="0" collapsed="false">
      <c r="A345" s="7" t="str">
        <f aca="false">IF($C345="","","M"&amp;TEXT(ROW()-1,"0000"))</f>
        <v/>
      </c>
      <c r="B345" s="5"/>
      <c r="C345" s="5"/>
      <c r="D345" s="5"/>
      <c r="E345" s="7" t="str">
        <f aca="false">IF($C345="","",IF(OR($C345="Receiving",$C345="Stock Count Adjustment"),$D345,-$D345))</f>
        <v/>
      </c>
      <c r="F345" s="5"/>
      <c r="G345" s="5"/>
      <c r="H345" s="5"/>
      <c r="I345" s="5"/>
      <c r="J345" s="5"/>
    </row>
    <row r="346" customFormat="false" ht="15" hidden="false" customHeight="false" outlineLevel="0" collapsed="false">
      <c r="A346" s="7" t="str">
        <f aca="false">IF($C346="","","M"&amp;TEXT(ROW()-1,"0000"))</f>
        <v/>
      </c>
      <c r="B346" s="5"/>
      <c r="C346" s="5"/>
      <c r="D346" s="5"/>
      <c r="E346" s="7" t="str">
        <f aca="false">IF($C346="","",IF(OR($C346="Receiving",$C346="Stock Count Adjustment"),$D346,-$D346))</f>
        <v/>
      </c>
      <c r="F346" s="5"/>
      <c r="G346" s="5"/>
      <c r="H346" s="5"/>
      <c r="I346" s="5"/>
      <c r="J346" s="5"/>
    </row>
    <row r="347" customFormat="false" ht="15" hidden="false" customHeight="false" outlineLevel="0" collapsed="false">
      <c r="A347" s="7" t="str">
        <f aca="false">IF($C347="","","M"&amp;TEXT(ROW()-1,"0000"))</f>
        <v/>
      </c>
      <c r="B347" s="5"/>
      <c r="C347" s="5"/>
      <c r="D347" s="5"/>
      <c r="E347" s="7" t="str">
        <f aca="false">IF($C347="","",IF(OR($C347="Receiving",$C347="Stock Count Adjustment"),$D347,-$D347))</f>
        <v/>
      </c>
      <c r="F347" s="5"/>
      <c r="G347" s="5"/>
      <c r="H347" s="5"/>
      <c r="I347" s="5"/>
      <c r="J347" s="5"/>
    </row>
    <row r="348" customFormat="false" ht="15" hidden="false" customHeight="false" outlineLevel="0" collapsed="false">
      <c r="A348" s="7" t="str">
        <f aca="false">IF($C348="","","M"&amp;TEXT(ROW()-1,"0000"))</f>
        <v/>
      </c>
      <c r="B348" s="5"/>
      <c r="C348" s="5"/>
      <c r="D348" s="5"/>
      <c r="E348" s="7" t="str">
        <f aca="false">IF($C348="","",IF(OR($C348="Receiving",$C348="Stock Count Adjustment"),$D348,-$D348))</f>
        <v/>
      </c>
      <c r="F348" s="5"/>
      <c r="G348" s="5"/>
      <c r="H348" s="5"/>
      <c r="I348" s="5"/>
      <c r="J348" s="5"/>
    </row>
    <row r="349" customFormat="false" ht="15" hidden="false" customHeight="false" outlineLevel="0" collapsed="false">
      <c r="A349" s="7" t="str">
        <f aca="false">IF($C349="","","M"&amp;TEXT(ROW()-1,"0000"))</f>
        <v/>
      </c>
      <c r="B349" s="5"/>
      <c r="C349" s="5"/>
      <c r="D349" s="5"/>
      <c r="E349" s="7" t="str">
        <f aca="false">IF($C349="","",IF(OR($C349="Receiving",$C349="Stock Count Adjustment"),$D349,-$D349))</f>
        <v/>
      </c>
      <c r="F349" s="5"/>
      <c r="G349" s="5"/>
      <c r="H349" s="5"/>
      <c r="I349" s="5"/>
      <c r="J349" s="5"/>
    </row>
    <row r="350" customFormat="false" ht="15" hidden="false" customHeight="false" outlineLevel="0" collapsed="false">
      <c r="A350" s="7" t="str">
        <f aca="false">IF($C350="","","M"&amp;TEXT(ROW()-1,"0000"))</f>
        <v/>
      </c>
      <c r="B350" s="5"/>
      <c r="C350" s="5"/>
      <c r="D350" s="5"/>
      <c r="E350" s="7" t="str">
        <f aca="false">IF($C350="","",IF(OR($C350="Receiving",$C350="Stock Count Adjustment"),$D350,-$D350))</f>
        <v/>
      </c>
      <c r="F350" s="5"/>
      <c r="G350" s="5"/>
      <c r="H350" s="5"/>
      <c r="I350" s="5"/>
      <c r="J350" s="5"/>
    </row>
    <row r="351" customFormat="false" ht="15" hidden="false" customHeight="false" outlineLevel="0" collapsed="false">
      <c r="A351" s="7" t="str">
        <f aca="false">IF($C351="","","M"&amp;TEXT(ROW()-1,"0000"))</f>
        <v/>
      </c>
      <c r="B351" s="5"/>
      <c r="C351" s="5"/>
      <c r="D351" s="5"/>
      <c r="E351" s="7" t="str">
        <f aca="false">IF($C351="","",IF(OR($C351="Receiving",$C351="Stock Count Adjustment"),$D351,-$D351))</f>
        <v/>
      </c>
      <c r="F351" s="5"/>
      <c r="G351" s="5"/>
      <c r="H351" s="5"/>
      <c r="I351" s="5"/>
      <c r="J351" s="5"/>
    </row>
    <row r="352" customFormat="false" ht="15" hidden="false" customHeight="false" outlineLevel="0" collapsed="false">
      <c r="A352" s="7" t="str">
        <f aca="false">IF($C352="","","M"&amp;TEXT(ROW()-1,"0000"))</f>
        <v/>
      </c>
      <c r="B352" s="5"/>
      <c r="C352" s="5"/>
      <c r="D352" s="5"/>
      <c r="E352" s="7" t="str">
        <f aca="false">IF($C352="","",IF(OR($C352="Receiving",$C352="Stock Count Adjustment"),$D352,-$D352))</f>
        <v/>
      </c>
      <c r="F352" s="5"/>
      <c r="G352" s="5"/>
      <c r="H352" s="5"/>
      <c r="I352" s="5"/>
      <c r="J352" s="5"/>
    </row>
    <row r="353" customFormat="false" ht="15" hidden="false" customHeight="false" outlineLevel="0" collapsed="false">
      <c r="A353" s="7" t="str">
        <f aca="false">IF($C353="","","M"&amp;TEXT(ROW()-1,"0000"))</f>
        <v/>
      </c>
      <c r="B353" s="5"/>
      <c r="C353" s="5"/>
      <c r="D353" s="5"/>
      <c r="E353" s="7" t="str">
        <f aca="false">IF($C353="","",IF(OR($C353="Receiving",$C353="Stock Count Adjustment"),$D353,-$D353))</f>
        <v/>
      </c>
      <c r="F353" s="5"/>
      <c r="G353" s="5"/>
      <c r="H353" s="5"/>
      <c r="I353" s="5"/>
      <c r="J353" s="5"/>
    </row>
    <row r="354" customFormat="false" ht="15" hidden="false" customHeight="false" outlineLevel="0" collapsed="false">
      <c r="A354" s="7" t="str">
        <f aca="false">IF($C354="","","M"&amp;TEXT(ROW()-1,"0000"))</f>
        <v/>
      </c>
      <c r="B354" s="5"/>
      <c r="C354" s="5"/>
      <c r="D354" s="5"/>
      <c r="E354" s="7" t="str">
        <f aca="false">IF($C354="","",IF(OR($C354="Receiving",$C354="Stock Count Adjustment"),$D354,-$D354))</f>
        <v/>
      </c>
      <c r="F354" s="5"/>
      <c r="G354" s="5"/>
      <c r="H354" s="5"/>
      <c r="I354" s="5"/>
      <c r="J354" s="5"/>
    </row>
    <row r="355" customFormat="false" ht="15" hidden="false" customHeight="false" outlineLevel="0" collapsed="false">
      <c r="A355" s="7" t="str">
        <f aca="false">IF($C355="","","M"&amp;TEXT(ROW()-1,"0000"))</f>
        <v/>
      </c>
      <c r="B355" s="5"/>
      <c r="C355" s="5"/>
      <c r="D355" s="5"/>
      <c r="E355" s="7" t="str">
        <f aca="false">IF($C355="","",IF(OR($C355="Receiving",$C355="Stock Count Adjustment"),$D355,-$D355))</f>
        <v/>
      </c>
      <c r="F355" s="5"/>
      <c r="G355" s="5"/>
      <c r="H355" s="5"/>
      <c r="I355" s="5"/>
      <c r="J355" s="5"/>
    </row>
    <row r="356" customFormat="false" ht="15" hidden="false" customHeight="false" outlineLevel="0" collapsed="false">
      <c r="A356" s="7" t="str">
        <f aca="false">IF($C356="","","M"&amp;TEXT(ROW()-1,"0000"))</f>
        <v/>
      </c>
      <c r="B356" s="5"/>
      <c r="C356" s="5"/>
      <c r="D356" s="5"/>
      <c r="E356" s="7" t="str">
        <f aca="false">IF($C356="","",IF(OR($C356="Receiving",$C356="Stock Count Adjustment"),$D356,-$D356))</f>
        <v/>
      </c>
      <c r="F356" s="5"/>
      <c r="G356" s="5"/>
      <c r="H356" s="5"/>
      <c r="I356" s="5"/>
      <c r="J356" s="5"/>
    </row>
    <row r="357" customFormat="false" ht="15" hidden="false" customHeight="false" outlineLevel="0" collapsed="false">
      <c r="A357" s="7" t="str">
        <f aca="false">IF($C357="","","M"&amp;TEXT(ROW()-1,"0000"))</f>
        <v/>
      </c>
      <c r="B357" s="5"/>
      <c r="C357" s="5"/>
      <c r="D357" s="5"/>
      <c r="E357" s="7" t="str">
        <f aca="false">IF($C357="","",IF(OR($C357="Receiving",$C357="Stock Count Adjustment"),$D357,-$D357))</f>
        <v/>
      </c>
      <c r="F357" s="5"/>
      <c r="G357" s="5"/>
      <c r="H357" s="5"/>
      <c r="I357" s="5"/>
      <c r="J357" s="5"/>
    </row>
    <row r="358" customFormat="false" ht="15" hidden="false" customHeight="false" outlineLevel="0" collapsed="false">
      <c r="A358" s="7" t="str">
        <f aca="false">IF($C358="","","M"&amp;TEXT(ROW()-1,"0000"))</f>
        <v/>
      </c>
      <c r="B358" s="5"/>
      <c r="C358" s="5"/>
      <c r="D358" s="5"/>
      <c r="E358" s="7" t="str">
        <f aca="false">IF($C358="","",IF(OR($C358="Receiving",$C358="Stock Count Adjustment"),$D358,-$D358))</f>
        <v/>
      </c>
      <c r="F358" s="5"/>
      <c r="G358" s="5"/>
      <c r="H358" s="5"/>
      <c r="I358" s="5"/>
      <c r="J358" s="5"/>
    </row>
    <row r="359" customFormat="false" ht="15" hidden="false" customHeight="false" outlineLevel="0" collapsed="false">
      <c r="A359" s="7" t="str">
        <f aca="false">IF($C359="","","M"&amp;TEXT(ROW()-1,"0000"))</f>
        <v/>
      </c>
      <c r="B359" s="5"/>
      <c r="C359" s="5"/>
      <c r="D359" s="5"/>
      <c r="E359" s="7" t="str">
        <f aca="false">IF($C359="","",IF(OR($C359="Receiving",$C359="Stock Count Adjustment"),$D359,-$D359))</f>
        <v/>
      </c>
      <c r="F359" s="5"/>
      <c r="G359" s="5"/>
      <c r="H359" s="5"/>
      <c r="I359" s="5"/>
      <c r="J359" s="5"/>
    </row>
    <row r="360" customFormat="false" ht="15" hidden="false" customHeight="false" outlineLevel="0" collapsed="false">
      <c r="A360" s="7" t="str">
        <f aca="false">IF($C360="","","M"&amp;TEXT(ROW()-1,"0000"))</f>
        <v/>
      </c>
      <c r="B360" s="5"/>
      <c r="C360" s="5"/>
      <c r="D360" s="5"/>
      <c r="E360" s="7" t="str">
        <f aca="false">IF($C360="","",IF(OR($C360="Receiving",$C360="Stock Count Adjustment"),$D360,-$D360))</f>
        <v/>
      </c>
      <c r="F360" s="5"/>
      <c r="G360" s="5"/>
      <c r="H360" s="5"/>
      <c r="I360" s="5"/>
      <c r="J360" s="5"/>
    </row>
    <row r="361" customFormat="false" ht="15" hidden="false" customHeight="false" outlineLevel="0" collapsed="false">
      <c r="A361" s="7" t="str">
        <f aca="false">IF($C361="","","M"&amp;TEXT(ROW()-1,"0000"))</f>
        <v/>
      </c>
      <c r="B361" s="5"/>
      <c r="C361" s="5"/>
      <c r="D361" s="5"/>
      <c r="E361" s="7" t="str">
        <f aca="false">IF($C361="","",IF(OR($C361="Receiving",$C361="Stock Count Adjustment"),$D361,-$D361))</f>
        <v/>
      </c>
      <c r="F361" s="5"/>
      <c r="G361" s="5"/>
      <c r="H361" s="5"/>
      <c r="I361" s="5"/>
      <c r="J361" s="5"/>
    </row>
    <row r="362" customFormat="false" ht="15" hidden="false" customHeight="false" outlineLevel="0" collapsed="false">
      <c r="A362" s="7" t="str">
        <f aca="false">IF($C362="","","M"&amp;TEXT(ROW()-1,"0000"))</f>
        <v/>
      </c>
      <c r="B362" s="5"/>
      <c r="C362" s="5"/>
      <c r="D362" s="5"/>
      <c r="E362" s="7" t="str">
        <f aca="false">IF($C362="","",IF(OR($C362="Receiving",$C362="Stock Count Adjustment"),$D362,-$D362))</f>
        <v/>
      </c>
      <c r="F362" s="5"/>
      <c r="G362" s="5"/>
      <c r="H362" s="5"/>
      <c r="I362" s="5"/>
      <c r="J362" s="5"/>
    </row>
    <row r="363" customFormat="false" ht="15" hidden="false" customHeight="false" outlineLevel="0" collapsed="false">
      <c r="A363" s="7" t="str">
        <f aca="false">IF($C363="","","M"&amp;TEXT(ROW()-1,"0000"))</f>
        <v/>
      </c>
      <c r="B363" s="5"/>
      <c r="C363" s="5"/>
      <c r="D363" s="5"/>
      <c r="E363" s="7" t="str">
        <f aca="false">IF($C363="","",IF(OR($C363="Receiving",$C363="Stock Count Adjustment"),$D363,-$D363))</f>
        <v/>
      </c>
      <c r="F363" s="5"/>
      <c r="G363" s="5"/>
      <c r="H363" s="5"/>
      <c r="I363" s="5"/>
      <c r="J363" s="5"/>
    </row>
    <row r="364" customFormat="false" ht="15" hidden="false" customHeight="false" outlineLevel="0" collapsed="false">
      <c r="A364" s="7" t="str">
        <f aca="false">IF($C364="","","M"&amp;TEXT(ROW()-1,"0000"))</f>
        <v/>
      </c>
      <c r="B364" s="5"/>
      <c r="C364" s="5"/>
      <c r="D364" s="5"/>
      <c r="E364" s="7" t="str">
        <f aca="false">IF($C364="","",IF(OR($C364="Receiving",$C364="Stock Count Adjustment"),$D364,-$D364))</f>
        <v/>
      </c>
      <c r="F364" s="5"/>
      <c r="G364" s="5"/>
      <c r="H364" s="5"/>
      <c r="I364" s="5"/>
      <c r="J364" s="5"/>
    </row>
    <row r="365" customFormat="false" ht="15" hidden="false" customHeight="false" outlineLevel="0" collapsed="false">
      <c r="A365" s="7" t="str">
        <f aca="false">IF($C365="","","M"&amp;TEXT(ROW()-1,"0000"))</f>
        <v/>
      </c>
      <c r="B365" s="5"/>
      <c r="C365" s="5"/>
      <c r="D365" s="5"/>
      <c r="E365" s="7" t="str">
        <f aca="false">IF($C365="","",IF(OR($C365="Receiving",$C365="Stock Count Adjustment"),$D365,-$D365))</f>
        <v/>
      </c>
      <c r="F365" s="5"/>
      <c r="G365" s="5"/>
      <c r="H365" s="5"/>
      <c r="I365" s="5"/>
      <c r="J365" s="5"/>
    </row>
    <row r="366" customFormat="false" ht="15" hidden="false" customHeight="false" outlineLevel="0" collapsed="false">
      <c r="A366" s="7" t="str">
        <f aca="false">IF($C366="","","M"&amp;TEXT(ROW()-1,"0000"))</f>
        <v/>
      </c>
      <c r="B366" s="5"/>
      <c r="C366" s="5"/>
      <c r="D366" s="5"/>
      <c r="E366" s="7" t="str">
        <f aca="false">IF($C366="","",IF(OR($C366="Receiving",$C366="Stock Count Adjustment"),$D366,-$D366))</f>
        <v/>
      </c>
      <c r="F366" s="5"/>
      <c r="G366" s="5"/>
      <c r="H366" s="5"/>
      <c r="I366" s="5"/>
      <c r="J366" s="5"/>
    </row>
    <row r="367" customFormat="false" ht="15" hidden="false" customHeight="false" outlineLevel="0" collapsed="false">
      <c r="A367" s="7" t="str">
        <f aca="false">IF($C367="","","M"&amp;TEXT(ROW()-1,"0000"))</f>
        <v/>
      </c>
      <c r="B367" s="5"/>
      <c r="C367" s="5"/>
      <c r="D367" s="5"/>
      <c r="E367" s="7" t="str">
        <f aca="false">IF($C367="","",IF(OR($C367="Receiving",$C367="Stock Count Adjustment"),$D367,-$D367))</f>
        <v/>
      </c>
      <c r="F367" s="5"/>
      <c r="G367" s="5"/>
      <c r="H367" s="5"/>
      <c r="I367" s="5"/>
      <c r="J367" s="5"/>
    </row>
    <row r="368" customFormat="false" ht="15" hidden="false" customHeight="false" outlineLevel="0" collapsed="false">
      <c r="A368" s="7" t="str">
        <f aca="false">IF($C368="","","M"&amp;TEXT(ROW()-1,"0000"))</f>
        <v/>
      </c>
      <c r="B368" s="5"/>
      <c r="C368" s="5"/>
      <c r="D368" s="5"/>
      <c r="E368" s="7" t="str">
        <f aca="false">IF($C368="","",IF(OR($C368="Receiving",$C368="Stock Count Adjustment"),$D368,-$D368))</f>
        <v/>
      </c>
      <c r="F368" s="5"/>
      <c r="G368" s="5"/>
      <c r="H368" s="5"/>
      <c r="I368" s="5"/>
      <c r="J368" s="5"/>
    </row>
    <row r="369" customFormat="false" ht="15" hidden="false" customHeight="false" outlineLevel="0" collapsed="false">
      <c r="A369" s="7" t="str">
        <f aca="false">IF($C369="","","M"&amp;TEXT(ROW()-1,"0000"))</f>
        <v/>
      </c>
      <c r="B369" s="5"/>
      <c r="C369" s="5"/>
      <c r="D369" s="5"/>
      <c r="E369" s="7" t="str">
        <f aca="false">IF($C369="","",IF(OR($C369="Receiving",$C369="Stock Count Adjustment"),$D369,-$D369))</f>
        <v/>
      </c>
      <c r="F369" s="5"/>
      <c r="G369" s="5"/>
      <c r="H369" s="5"/>
      <c r="I369" s="5"/>
      <c r="J369" s="5"/>
    </row>
    <row r="370" customFormat="false" ht="15" hidden="false" customHeight="false" outlineLevel="0" collapsed="false">
      <c r="A370" s="7" t="str">
        <f aca="false">IF($C370="","","M"&amp;TEXT(ROW()-1,"0000"))</f>
        <v/>
      </c>
      <c r="B370" s="5"/>
      <c r="C370" s="5"/>
      <c r="D370" s="5"/>
      <c r="E370" s="7" t="str">
        <f aca="false">IF($C370="","",IF(OR($C370="Receiving",$C370="Stock Count Adjustment"),$D370,-$D370))</f>
        <v/>
      </c>
      <c r="F370" s="5"/>
      <c r="G370" s="5"/>
      <c r="H370" s="5"/>
      <c r="I370" s="5"/>
      <c r="J370" s="5"/>
    </row>
    <row r="371" customFormat="false" ht="15" hidden="false" customHeight="false" outlineLevel="0" collapsed="false">
      <c r="A371" s="7" t="str">
        <f aca="false">IF($C371="","","M"&amp;TEXT(ROW()-1,"0000"))</f>
        <v/>
      </c>
      <c r="B371" s="5"/>
      <c r="C371" s="5"/>
      <c r="D371" s="5"/>
      <c r="E371" s="7" t="str">
        <f aca="false">IF($C371="","",IF(OR($C371="Receiving",$C371="Stock Count Adjustment"),$D371,-$D371))</f>
        <v/>
      </c>
      <c r="F371" s="5"/>
      <c r="G371" s="5"/>
      <c r="H371" s="5"/>
      <c r="I371" s="5"/>
      <c r="J371" s="5"/>
    </row>
    <row r="372" customFormat="false" ht="15" hidden="false" customHeight="false" outlineLevel="0" collapsed="false">
      <c r="A372" s="7" t="str">
        <f aca="false">IF($C372="","","M"&amp;TEXT(ROW()-1,"0000"))</f>
        <v/>
      </c>
      <c r="B372" s="5"/>
      <c r="C372" s="5"/>
      <c r="D372" s="5"/>
      <c r="E372" s="7" t="str">
        <f aca="false">IF($C372="","",IF(OR($C372="Receiving",$C372="Stock Count Adjustment"),$D372,-$D372))</f>
        <v/>
      </c>
      <c r="F372" s="5"/>
      <c r="G372" s="5"/>
      <c r="H372" s="5"/>
      <c r="I372" s="5"/>
      <c r="J372" s="5"/>
    </row>
    <row r="373" customFormat="false" ht="15" hidden="false" customHeight="false" outlineLevel="0" collapsed="false">
      <c r="A373" s="7" t="str">
        <f aca="false">IF($C373="","","M"&amp;TEXT(ROW()-1,"0000"))</f>
        <v/>
      </c>
      <c r="B373" s="5"/>
      <c r="C373" s="5"/>
      <c r="D373" s="5"/>
      <c r="E373" s="7" t="str">
        <f aca="false">IF($C373="","",IF(OR($C373="Receiving",$C373="Stock Count Adjustment"),$D373,-$D373))</f>
        <v/>
      </c>
      <c r="F373" s="5"/>
      <c r="G373" s="5"/>
      <c r="H373" s="5"/>
      <c r="I373" s="5"/>
      <c r="J373" s="5"/>
    </row>
    <row r="374" customFormat="false" ht="15" hidden="false" customHeight="false" outlineLevel="0" collapsed="false">
      <c r="A374" s="7" t="str">
        <f aca="false">IF($C374="","","M"&amp;TEXT(ROW()-1,"0000"))</f>
        <v/>
      </c>
      <c r="B374" s="5"/>
      <c r="C374" s="5"/>
      <c r="D374" s="5"/>
      <c r="E374" s="7" t="str">
        <f aca="false">IF($C374="","",IF(OR($C374="Receiving",$C374="Stock Count Adjustment"),$D374,-$D374))</f>
        <v/>
      </c>
      <c r="F374" s="5"/>
      <c r="G374" s="5"/>
      <c r="H374" s="5"/>
      <c r="I374" s="5"/>
      <c r="J374" s="5"/>
    </row>
    <row r="375" customFormat="false" ht="15" hidden="false" customHeight="false" outlineLevel="0" collapsed="false">
      <c r="A375" s="7" t="str">
        <f aca="false">IF($C375="","","M"&amp;TEXT(ROW()-1,"0000"))</f>
        <v/>
      </c>
      <c r="B375" s="5"/>
      <c r="C375" s="5"/>
      <c r="D375" s="5"/>
      <c r="E375" s="7" t="str">
        <f aca="false">IF($C375="","",IF(OR($C375="Receiving",$C375="Stock Count Adjustment"),$D375,-$D375))</f>
        <v/>
      </c>
      <c r="F375" s="5"/>
      <c r="G375" s="5"/>
      <c r="H375" s="5"/>
      <c r="I375" s="5"/>
      <c r="J375" s="5"/>
    </row>
    <row r="376" customFormat="false" ht="15" hidden="false" customHeight="false" outlineLevel="0" collapsed="false">
      <c r="A376" s="7" t="str">
        <f aca="false">IF($C376="","","M"&amp;TEXT(ROW()-1,"0000"))</f>
        <v/>
      </c>
      <c r="B376" s="5"/>
      <c r="C376" s="5"/>
      <c r="D376" s="5"/>
      <c r="E376" s="7" t="str">
        <f aca="false">IF($C376="","",IF(OR($C376="Receiving",$C376="Stock Count Adjustment"),$D376,-$D376))</f>
        <v/>
      </c>
      <c r="F376" s="5"/>
      <c r="G376" s="5"/>
      <c r="H376" s="5"/>
      <c r="I376" s="5"/>
      <c r="J376" s="5"/>
    </row>
    <row r="377" customFormat="false" ht="15" hidden="false" customHeight="false" outlineLevel="0" collapsed="false">
      <c r="A377" s="7" t="str">
        <f aca="false">IF($C377="","","M"&amp;TEXT(ROW()-1,"0000"))</f>
        <v/>
      </c>
      <c r="B377" s="5"/>
      <c r="C377" s="5"/>
      <c r="D377" s="5"/>
      <c r="E377" s="7" t="str">
        <f aca="false">IF($C377="","",IF(OR($C377="Receiving",$C377="Stock Count Adjustment"),$D377,-$D377))</f>
        <v/>
      </c>
      <c r="F377" s="5"/>
      <c r="G377" s="5"/>
      <c r="H377" s="5"/>
      <c r="I377" s="5"/>
      <c r="J377" s="5"/>
    </row>
    <row r="378" customFormat="false" ht="15" hidden="false" customHeight="false" outlineLevel="0" collapsed="false">
      <c r="A378" s="7" t="str">
        <f aca="false">IF($C378="","","M"&amp;TEXT(ROW()-1,"0000"))</f>
        <v/>
      </c>
      <c r="B378" s="5"/>
      <c r="C378" s="5"/>
      <c r="D378" s="5"/>
      <c r="E378" s="7" t="str">
        <f aca="false">IF($C378="","",IF(OR($C378="Receiving",$C378="Stock Count Adjustment"),$D378,-$D378))</f>
        <v/>
      </c>
      <c r="F378" s="5"/>
      <c r="G378" s="5"/>
      <c r="H378" s="5"/>
      <c r="I378" s="5"/>
      <c r="J378" s="5"/>
    </row>
    <row r="379" customFormat="false" ht="15" hidden="false" customHeight="false" outlineLevel="0" collapsed="false">
      <c r="A379" s="7" t="str">
        <f aca="false">IF($C379="","","M"&amp;TEXT(ROW()-1,"0000"))</f>
        <v/>
      </c>
      <c r="B379" s="5"/>
      <c r="C379" s="5"/>
      <c r="D379" s="5"/>
      <c r="E379" s="7" t="str">
        <f aca="false">IF($C379="","",IF(OR($C379="Receiving",$C379="Stock Count Adjustment"),$D379,-$D379))</f>
        <v/>
      </c>
      <c r="F379" s="5"/>
      <c r="G379" s="5"/>
      <c r="H379" s="5"/>
      <c r="I379" s="5"/>
      <c r="J379" s="5"/>
    </row>
    <row r="380" customFormat="false" ht="15" hidden="false" customHeight="false" outlineLevel="0" collapsed="false">
      <c r="A380" s="7" t="str">
        <f aca="false">IF($C380="","","M"&amp;TEXT(ROW()-1,"0000"))</f>
        <v/>
      </c>
      <c r="B380" s="5"/>
      <c r="C380" s="5"/>
      <c r="D380" s="5"/>
      <c r="E380" s="7" t="str">
        <f aca="false">IF($C380="","",IF(OR($C380="Receiving",$C380="Stock Count Adjustment"),$D380,-$D380))</f>
        <v/>
      </c>
      <c r="F380" s="5"/>
      <c r="G380" s="5"/>
      <c r="H380" s="5"/>
      <c r="I380" s="5"/>
      <c r="J380" s="5"/>
    </row>
    <row r="381" customFormat="false" ht="15" hidden="false" customHeight="false" outlineLevel="0" collapsed="false">
      <c r="A381" s="7" t="str">
        <f aca="false">IF($C381="","","M"&amp;TEXT(ROW()-1,"0000"))</f>
        <v/>
      </c>
      <c r="B381" s="5"/>
      <c r="C381" s="5"/>
      <c r="D381" s="5"/>
      <c r="E381" s="7" t="str">
        <f aca="false">IF($C381="","",IF(OR($C381="Receiving",$C381="Stock Count Adjustment"),$D381,-$D381))</f>
        <v/>
      </c>
      <c r="F381" s="5"/>
      <c r="G381" s="5"/>
      <c r="H381" s="5"/>
      <c r="I381" s="5"/>
      <c r="J381" s="5"/>
    </row>
    <row r="382" customFormat="false" ht="15" hidden="false" customHeight="false" outlineLevel="0" collapsed="false">
      <c r="A382" s="7" t="str">
        <f aca="false">IF($C382="","","M"&amp;TEXT(ROW()-1,"0000"))</f>
        <v/>
      </c>
      <c r="B382" s="5"/>
      <c r="C382" s="5"/>
      <c r="D382" s="5"/>
      <c r="E382" s="7" t="str">
        <f aca="false">IF($C382="","",IF(OR($C382="Receiving",$C382="Stock Count Adjustment"),$D382,-$D382))</f>
        <v/>
      </c>
      <c r="F382" s="5"/>
      <c r="G382" s="5"/>
      <c r="H382" s="5"/>
      <c r="I382" s="5"/>
      <c r="J382" s="5"/>
    </row>
    <row r="383" customFormat="false" ht="15" hidden="false" customHeight="false" outlineLevel="0" collapsed="false">
      <c r="A383" s="7" t="str">
        <f aca="false">IF($C383="","","M"&amp;TEXT(ROW()-1,"0000"))</f>
        <v/>
      </c>
      <c r="B383" s="5"/>
      <c r="C383" s="5"/>
      <c r="D383" s="5"/>
      <c r="E383" s="7" t="str">
        <f aca="false">IF($C383="","",IF(OR($C383="Receiving",$C383="Stock Count Adjustment"),$D383,-$D383))</f>
        <v/>
      </c>
      <c r="F383" s="5"/>
      <c r="G383" s="5"/>
      <c r="H383" s="5"/>
      <c r="I383" s="5"/>
      <c r="J383" s="5"/>
    </row>
    <row r="384" customFormat="false" ht="15" hidden="false" customHeight="false" outlineLevel="0" collapsed="false">
      <c r="A384" s="7" t="str">
        <f aca="false">IF($C384="","","M"&amp;TEXT(ROW()-1,"0000"))</f>
        <v/>
      </c>
      <c r="B384" s="5"/>
      <c r="C384" s="5"/>
      <c r="D384" s="5"/>
      <c r="E384" s="7" t="str">
        <f aca="false">IF($C384="","",IF(OR($C384="Receiving",$C384="Stock Count Adjustment"),$D384,-$D384))</f>
        <v/>
      </c>
      <c r="F384" s="5"/>
      <c r="G384" s="5"/>
      <c r="H384" s="5"/>
      <c r="I384" s="5"/>
      <c r="J384" s="5"/>
    </row>
    <row r="385" customFormat="false" ht="15" hidden="false" customHeight="false" outlineLevel="0" collapsed="false">
      <c r="A385" s="7" t="str">
        <f aca="false">IF($C385="","","M"&amp;TEXT(ROW()-1,"0000"))</f>
        <v/>
      </c>
      <c r="B385" s="5"/>
      <c r="C385" s="5"/>
      <c r="D385" s="5"/>
      <c r="E385" s="7" t="str">
        <f aca="false">IF($C385="","",IF(OR($C385="Receiving",$C385="Stock Count Adjustment"),$D385,-$D385))</f>
        <v/>
      </c>
      <c r="F385" s="5"/>
      <c r="G385" s="5"/>
      <c r="H385" s="5"/>
      <c r="I385" s="5"/>
      <c r="J385" s="5"/>
    </row>
    <row r="386" customFormat="false" ht="15" hidden="false" customHeight="false" outlineLevel="0" collapsed="false">
      <c r="A386" s="7" t="str">
        <f aca="false">IF($C386="","","M"&amp;TEXT(ROW()-1,"0000"))</f>
        <v/>
      </c>
      <c r="B386" s="5"/>
      <c r="C386" s="5"/>
      <c r="D386" s="5"/>
      <c r="E386" s="7" t="str">
        <f aca="false">IF($C386="","",IF(OR($C386="Receiving",$C386="Stock Count Adjustment"),$D386,-$D386))</f>
        <v/>
      </c>
      <c r="F386" s="5"/>
      <c r="G386" s="5"/>
      <c r="H386" s="5"/>
      <c r="I386" s="5"/>
      <c r="J386" s="5"/>
    </row>
    <row r="387" customFormat="false" ht="15" hidden="false" customHeight="false" outlineLevel="0" collapsed="false">
      <c r="A387" s="7" t="str">
        <f aca="false">IF($C387="","","M"&amp;TEXT(ROW()-1,"0000"))</f>
        <v/>
      </c>
      <c r="B387" s="5"/>
      <c r="C387" s="5"/>
      <c r="D387" s="5"/>
      <c r="E387" s="7" t="str">
        <f aca="false">IF($C387="","",IF(OR($C387="Receiving",$C387="Stock Count Adjustment"),$D387,-$D387))</f>
        <v/>
      </c>
      <c r="F387" s="5"/>
      <c r="G387" s="5"/>
      <c r="H387" s="5"/>
      <c r="I387" s="5"/>
      <c r="J387" s="5"/>
    </row>
    <row r="388" customFormat="false" ht="15" hidden="false" customHeight="false" outlineLevel="0" collapsed="false">
      <c r="A388" s="7" t="str">
        <f aca="false">IF($C388="","","M"&amp;TEXT(ROW()-1,"0000"))</f>
        <v/>
      </c>
      <c r="B388" s="5"/>
      <c r="C388" s="5"/>
      <c r="D388" s="5"/>
      <c r="E388" s="7" t="str">
        <f aca="false">IF($C388="","",IF(OR($C388="Receiving",$C388="Stock Count Adjustment"),$D388,-$D388))</f>
        <v/>
      </c>
      <c r="F388" s="5"/>
      <c r="G388" s="5"/>
      <c r="H388" s="5"/>
      <c r="I388" s="5"/>
      <c r="J388" s="5"/>
    </row>
    <row r="389" customFormat="false" ht="15" hidden="false" customHeight="false" outlineLevel="0" collapsed="false">
      <c r="A389" s="7" t="str">
        <f aca="false">IF($C389="","","M"&amp;TEXT(ROW()-1,"0000"))</f>
        <v/>
      </c>
      <c r="B389" s="5"/>
      <c r="C389" s="5"/>
      <c r="D389" s="5"/>
      <c r="E389" s="7" t="str">
        <f aca="false">IF($C389="","",IF(OR($C389="Receiving",$C389="Stock Count Adjustment"),$D389,-$D389))</f>
        <v/>
      </c>
      <c r="F389" s="5"/>
      <c r="G389" s="5"/>
      <c r="H389" s="5"/>
      <c r="I389" s="5"/>
      <c r="J389" s="5"/>
    </row>
    <row r="390" customFormat="false" ht="15" hidden="false" customHeight="false" outlineLevel="0" collapsed="false">
      <c r="A390" s="7" t="str">
        <f aca="false">IF($C390="","","M"&amp;TEXT(ROW()-1,"0000"))</f>
        <v/>
      </c>
      <c r="B390" s="5"/>
      <c r="C390" s="5"/>
      <c r="D390" s="5"/>
      <c r="E390" s="7" t="str">
        <f aca="false">IF($C390="","",IF(OR($C390="Receiving",$C390="Stock Count Adjustment"),$D390,-$D390))</f>
        <v/>
      </c>
      <c r="F390" s="5"/>
      <c r="G390" s="5"/>
      <c r="H390" s="5"/>
      <c r="I390" s="5"/>
      <c r="J390" s="5"/>
    </row>
    <row r="391" customFormat="false" ht="15" hidden="false" customHeight="false" outlineLevel="0" collapsed="false">
      <c r="A391" s="7" t="str">
        <f aca="false">IF($C391="","","M"&amp;TEXT(ROW()-1,"0000"))</f>
        <v/>
      </c>
      <c r="B391" s="5"/>
      <c r="C391" s="5"/>
      <c r="D391" s="5"/>
      <c r="E391" s="7" t="str">
        <f aca="false">IF($C391="","",IF(OR($C391="Receiving",$C391="Stock Count Adjustment"),$D391,-$D391))</f>
        <v/>
      </c>
      <c r="F391" s="5"/>
      <c r="G391" s="5"/>
      <c r="H391" s="5"/>
      <c r="I391" s="5"/>
      <c r="J391" s="5"/>
    </row>
    <row r="392" customFormat="false" ht="15" hidden="false" customHeight="false" outlineLevel="0" collapsed="false">
      <c r="A392" s="7" t="str">
        <f aca="false">IF($C392="","","M"&amp;TEXT(ROW()-1,"0000"))</f>
        <v/>
      </c>
      <c r="B392" s="5"/>
      <c r="C392" s="5"/>
      <c r="D392" s="5"/>
      <c r="E392" s="7" t="str">
        <f aca="false">IF($C392="","",IF(OR($C392="Receiving",$C392="Stock Count Adjustment"),$D392,-$D392))</f>
        <v/>
      </c>
      <c r="F392" s="5"/>
      <c r="G392" s="5"/>
      <c r="H392" s="5"/>
      <c r="I392" s="5"/>
      <c r="J392" s="5"/>
    </row>
    <row r="393" customFormat="false" ht="15" hidden="false" customHeight="false" outlineLevel="0" collapsed="false">
      <c r="A393" s="7" t="str">
        <f aca="false">IF($C393="","","M"&amp;TEXT(ROW()-1,"0000"))</f>
        <v/>
      </c>
      <c r="B393" s="5"/>
      <c r="C393" s="5"/>
      <c r="D393" s="5"/>
      <c r="E393" s="7" t="str">
        <f aca="false">IF($C393="","",IF(OR($C393="Receiving",$C393="Stock Count Adjustment"),$D393,-$D393))</f>
        <v/>
      </c>
      <c r="F393" s="5"/>
      <c r="G393" s="5"/>
      <c r="H393" s="5"/>
      <c r="I393" s="5"/>
      <c r="J393" s="5"/>
    </row>
    <row r="394" customFormat="false" ht="15" hidden="false" customHeight="false" outlineLevel="0" collapsed="false">
      <c r="A394" s="7" t="str">
        <f aca="false">IF($C394="","","M"&amp;TEXT(ROW()-1,"0000"))</f>
        <v/>
      </c>
      <c r="B394" s="5"/>
      <c r="C394" s="5"/>
      <c r="D394" s="5"/>
      <c r="E394" s="7" t="str">
        <f aca="false">IF($C394="","",IF(OR($C394="Receiving",$C394="Stock Count Adjustment"),$D394,-$D394))</f>
        <v/>
      </c>
      <c r="F394" s="5"/>
      <c r="G394" s="5"/>
      <c r="H394" s="5"/>
      <c r="I394" s="5"/>
      <c r="J394" s="5"/>
    </row>
    <row r="395" customFormat="false" ht="15" hidden="false" customHeight="false" outlineLevel="0" collapsed="false">
      <c r="A395" s="7" t="str">
        <f aca="false">IF($C395="","","M"&amp;TEXT(ROW()-1,"0000"))</f>
        <v/>
      </c>
      <c r="B395" s="5"/>
      <c r="C395" s="5"/>
      <c r="D395" s="5"/>
      <c r="E395" s="7" t="str">
        <f aca="false">IF($C395="","",IF(OR($C395="Receiving",$C395="Stock Count Adjustment"),$D395,-$D395))</f>
        <v/>
      </c>
      <c r="F395" s="5"/>
      <c r="G395" s="5"/>
      <c r="H395" s="5"/>
      <c r="I395" s="5"/>
      <c r="J395" s="5"/>
    </row>
    <row r="396" customFormat="false" ht="15" hidden="false" customHeight="false" outlineLevel="0" collapsed="false">
      <c r="A396" s="7" t="str">
        <f aca="false">IF($C396="","","M"&amp;TEXT(ROW()-1,"0000"))</f>
        <v/>
      </c>
      <c r="B396" s="5"/>
      <c r="C396" s="5"/>
      <c r="D396" s="5"/>
      <c r="E396" s="7" t="str">
        <f aca="false">IF($C396="","",IF(OR($C396="Receiving",$C396="Stock Count Adjustment"),$D396,-$D396))</f>
        <v/>
      </c>
      <c r="F396" s="5"/>
      <c r="G396" s="5"/>
      <c r="H396" s="5"/>
      <c r="I396" s="5"/>
      <c r="J396" s="5"/>
    </row>
    <row r="397" customFormat="false" ht="15" hidden="false" customHeight="false" outlineLevel="0" collapsed="false">
      <c r="A397" s="7" t="str">
        <f aca="false">IF($C397="","","M"&amp;TEXT(ROW()-1,"0000"))</f>
        <v/>
      </c>
      <c r="B397" s="5"/>
      <c r="C397" s="5"/>
      <c r="D397" s="5"/>
      <c r="E397" s="7" t="str">
        <f aca="false">IF($C397="","",IF(OR($C397="Receiving",$C397="Stock Count Adjustment"),$D397,-$D397))</f>
        <v/>
      </c>
      <c r="F397" s="5"/>
      <c r="G397" s="5"/>
      <c r="H397" s="5"/>
      <c r="I397" s="5"/>
      <c r="J397" s="5"/>
    </row>
    <row r="398" customFormat="false" ht="15" hidden="false" customHeight="false" outlineLevel="0" collapsed="false">
      <c r="A398" s="7" t="str">
        <f aca="false">IF($C398="","","M"&amp;TEXT(ROW()-1,"0000"))</f>
        <v/>
      </c>
      <c r="B398" s="5"/>
      <c r="C398" s="5"/>
      <c r="D398" s="5"/>
      <c r="E398" s="7" t="str">
        <f aca="false">IF($C398="","",IF(OR($C398="Receiving",$C398="Stock Count Adjustment"),$D398,-$D398))</f>
        <v/>
      </c>
      <c r="F398" s="5"/>
      <c r="G398" s="5"/>
      <c r="H398" s="5"/>
      <c r="I398" s="5"/>
      <c r="J398" s="5"/>
    </row>
    <row r="399" customFormat="false" ht="15" hidden="false" customHeight="false" outlineLevel="0" collapsed="false">
      <c r="A399" s="7" t="str">
        <f aca="false">IF($C399="","","M"&amp;TEXT(ROW()-1,"0000"))</f>
        <v/>
      </c>
      <c r="B399" s="5"/>
      <c r="C399" s="5"/>
      <c r="D399" s="5"/>
      <c r="E399" s="7" t="str">
        <f aca="false">IF($C399="","",IF(OR($C399="Receiving",$C399="Stock Count Adjustment"),$D399,-$D399))</f>
        <v/>
      </c>
      <c r="F399" s="5"/>
      <c r="G399" s="5"/>
      <c r="H399" s="5"/>
      <c r="I399" s="5"/>
      <c r="J399" s="5"/>
    </row>
    <row r="400" customFormat="false" ht="15" hidden="false" customHeight="false" outlineLevel="0" collapsed="false">
      <c r="A400" s="7" t="str">
        <f aca="false">IF($C400="","","M"&amp;TEXT(ROW()-1,"0000"))</f>
        <v/>
      </c>
      <c r="B400" s="5"/>
      <c r="C400" s="5"/>
      <c r="D400" s="5"/>
      <c r="E400" s="7" t="str">
        <f aca="false">IF($C400="","",IF(OR($C400="Receiving",$C400="Stock Count Adjustment"),$D400,-$D400))</f>
        <v/>
      </c>
      <c r="F400" s="5"/>
      <c r="G400" s="5"/>
      <c r="H400" s="5"/>
      <c r="I400" s="5"/>
      <c r="J400" s="5"/>
    </row>
    <row r="401" customFormat="false" ht="15" hidden="false" customHeight="false" outlineLevel="0" collapsed="false">
      <c r="A401" s="7" t="str">
        <f aca="false">IF($C401="","","M"&amp;TEXT(ROW()-1,"0000"))</f>
        <v/>
      </c>
      <c r="B401" s="5"/>
      <c r="C401" s="5"/>
      <c r="D401" s="5"/>
      <c r="E401" s="7" t="str">
        <f aca="false">IF($C401="","",IF(OR($C401="Receiving",$C401="Stock Count Adjustment"),$D401,-$D401))</f>
        <v/>
      </c>
      <c r="F401" s="5"/>
      <c r="G401" s="5"/>
      <c r="H401" s="5"/>
      <c r="I401" s="5"/>
      <c r="J401" s="5"/>
    </row>
    <row r="402" customFormat="false" ht="15" hidden="false" customHeight="false" outlineLevel="0" collapsed="false">
      <c r="A402" s="7" t="str">
        <f aca="false">IF($C402="","","M"&amp;TEXT(ROW()-1,"0000"))</f>
        <v/>
      </c>
      <c r="B402" s="5"/>
      <c r="C402" s="5"/>
      <c r="D402" s="5"/>
      <c r="E402" s="7" t="str">
        <f aca="false">IF($C402="","",IF(OR($C402="Receiving",$C402="Stock Count Adjustment"),$D402,-$D402))</f>
        <v/>
      </c>
      <c r="F402" s="5"/>
      <c r="G402" s="5"/>
      <c r="H402" s="5"/>
      <c r="I402" s="5"/>
      <c r="J402" s="5"/>
    </row>
    <row r="403" customFormat="false" ht="15" hidden="false" customHeight="false" outlineLevel="0" collapsed="false">
      <c r="A403" s="7" t="str">
        <f aca="false">IF($C403="","","M"&amp;TEXT(ROW()-1,"0000"))</f>
        <v/>
      </c>
      <c r="B403" s="5"/>
      <c r="C403" s="5"/>
      <c r="D403" s="5"/>
      <c r="E403" s="7" t="str">
        <f aca="false">IF($C403="","",IF(OR($C403="Receiving",$C403="Stock Count Adjustment"),$D403,-$D403))</f>
        <v/>
      </c>
      <c r="F403" s="5"/>
      <c r="G403" s="5"/>
      <c r="H403" s="5"/>
      <c r="I403" s="5"/>
      <c r="J403" s="5"/>
    </row>
    <row r="404" customFormat="false" ht="15" hidden="false" customHeight="false" outlineLevel="0" collapsed="false">
      <c r="A404" s="7" t="str">
        <f aca="false">IF($C404="","","M"&amp;TEXT(ROW()-1,"0000"))</f>
        <v/>
      </c>
      <c r="B404" s="5"/>
      <c r="C404" s="5"/>
      <c r="D404" s="5"/>
      <c r="E404" s="7" t="str">
        <f aca="false">IF($C404="","",IF(OR($C404="Receiving",$C404="Stock Count Adjustment"),$D404,-$D404))</f>
        <v/>
      </c>
      <c r="F404" s="5"/>
      <c r="G404" s="5"/>
      <c r="H404" s="5"/>
      <c r="I404" s="5"/>
      <c r="J404" s="5"/>
    </row>
    <row r="405" customFormat="false" ht="15" hidden="false" customHeight="false" outlineLevel="0" collapsed="false">
      <c r="A405" s="7" t="str">
        <f aca="false">IF($C405="","","M"&amp;TEXT(ROW()-1,"0000"))</f>
        <v/>
      </c>
      <c r="B405" s="5"/>
      <c r="C405" s="5"/>
      <c r="D405" s="5"/>
      <c r="E405" s="7" t="str">
        <f aca="false">IF($C405="","",IF(OR($C405="Receiving",$C405="Stock Count Adjustment"),$D405,-$D405))</f>
        <v/>
      </c>
      <c r="F405" s="5"/>
      <c r="G405" s="5"/>
      <c r="H405" s="5"/>
      <c r="I405" s="5"/>
      <c r="J405" s="5"/>
    </row>
    <row r="406" customFormat="false" ht="15" hidden="false" customHeight="false" outlineLevel="0" collapsed="false">
      <c r="A406" s="7" t="str">
        <f aca="false">IF($C406="","","M"&amp;TEXT(ROW()-1,"0000"))</f>
        <v/>
      </c>
      <c r="B406" s="5"/>
      <c r="C406" s="5"/>
      <c r="D406" s="5"/>
      <c r="E406" s="7" t="str">
        <f aca="false">IF($C406="","",IF(OR($C406="Receiving",$C406="Stock Count Adjustment"),$D406,-$D406))</f>
        <v/>
      </c>
      <c r="F406" s="5"/>
      <c r="G406" s="5"/>
      <c r="H406" s="5"/>
      <c r="I406" s="5"/>
      <c r="J406" s="5"/>
    </row>
    <row r="407" customFormat="false" ht="15" hidden="false" customHeight="false" outlineLevel="0" collapsed="false">
      <c r="A407" s="7" t="str">
        <f aca="false">IF($C407="","","M"&amp;TEXT(ROW()-1,"0000"))</f>
        <v/>
      </c>
      <c r="B407" s="5"/>
      <c r="C407" s="5"/>
      <c r="D407" s="5"/>
      <c r="E407" s="7" t="str">
        <f aca="false">IF($C407="","",IF(OR($C407="Receiving",$C407="Stock Count Adjustment"),$D407,-$D407))</f>
        <v/>
      </c>
      <c r="F407" s="5"/>
      <c r="G407" s="5"/>
      <c r="H407" s="5"/>
      <c r="I407" s="5"/>
      <c r="J407" s="5"/>
    </row>
    <row r="408" customFormat="false" ht="15" hidden="false" customHeight="false" outlineLevel="0" collapsed="false">
      <c r="A408" s="7" t="str">
        <f aca="false">IF($C408="","","M"&amp;TEXT(ROW()-1,"0000"))</f>
        <v/>
      </c>
      <c r="B408" s="5"/>
      <c r="C408" s="5"/>
      <c r="D408" s="5"/>
      <c r="E408" s="7" t="str">
        <f aca="false">IF($C408="","",IF(OR($C408="Receiving",$C408="Stock Count Adjustment"),$D408,-$D408))</f>
        <v/>
      </c>
      <c r="F408" s="5"/>
      <c r="G408" s="5"/>
      <c r="H408" s="5"/>
      <c r="I408" s="5"/>
      <c r="J408" s="5"/>
    </row>
    <row r="409" customFormat="false" ht="15" hidden="false" customHeight="false" outlineLevel="0" collapsed="false">
      <c r="A409" s="7" t="str">
        <f aca="false">IF($C409="","","M"&amp;TEXT(ROW()-1,"0000"))</f>
        <v/>
      </c>
      <c r="B409" s="5"/>
      <c r="C409" s="5"/>
      <c r="D409" s="5"/>
      <c r="E409" s="7" t="str">
        <f aca="false">IF($C409="","",IF(OR($C409="Receiving",$C409="Stock Count Adjustment"),$D409,-$D409))</f>
        <v/>
      </c>
      <c r="F409" s="5"/>
      <c r="G409" s="5"/>
      <c r="H409" s="5"/>
      <c r="I409" s="5"/>
      <c r="J409" s="5"/>
    </row>
    <row r="410" customFormat="false" ht="15" hidden="false" customHeight="false" outlineLevel="0" collapsed="false">
      <c r="A410" s="7" t="str">
        <f aca="false">IF($C410="","","M"&amp;TEXT(ROW()-1,"0000"))</f>
        <v/>
      </c>
      <c r="B410" s="5"/>
      <c r="C410" s="5"/>
      <c r="D410" s="5"/>
      <c r="E410" s="7" t="str">
        <f aca="false">IF($C410="","",IF(OR($C410="Receiving",$C410="Stock Count Adjustment"),$D410,-$D410))</f>
        <v/>
      </c>
      <c r="F410" s="5"/>
      <c r="G410" s="5"/>
      <c r="H410" s="5"/>
      <c r="I410" s="5"/>
      <c r="J410" s="5"/>
    </row>
    <row r="411" customFormat="false" ht="15" hidden="false" customHeight="false" outlineLevel="0" collapsed="false">
      <c r="A411" s="7" t="str">
        <f aca="false">IF($C411="","","M"&amp;TEXT(ROW()-1,"0000"))</f>
        <v/>
      </c>
      <c r="B411" s="5"/>
      <c r="C411" s="5"/>
      <c r="D411" s="5"/>
      <c r="E411" s="7" t="str">
        <f aca="false">IF($C411="","",IF(OR($C411="Receiving",$C411="Stock Count Adjustment"),$D411,-$D411))</f>
        <v/>
      </c>
      <c r="F411" s="5"/>
      <c r="G411" s="5"/>
      <c r="H411" s="5"/>
      <c r="I411" s="5"/>
      <c r="J411" s="5"/>
    </row>
    <row r="412" customFormat="false" ht="15" hidden="false" customHeight="false" outlineLevel="0" collapsed="false">
      <c r="A412" s="7" t="str">
        <f aca="false">IF($C412="","","M"&amp;TEXT(ROW()-1,"0000"))</f>
        <v/>
      </c>
      <c r="B412" s="5"/>
      <c r="C412" s="5"/>
      <c r="D412" s="5"/>
      <c r="E412" s="7" t="str">
        <f aca="false">IF($C412="","",IF(OR($C412="Receiving",$C412="Stock Count Adjustment"),$D412,-$D412))</f>
        <v/>
      </c>
      <c r="F412" s="5"/>
      <c r="G412" s="5"/>
      <c r="H412" s="5"/>
      <c r="I412" s="5"/>
      <c r="J412" s="5"/>
    </row>
    <row r="413" customFormat="false" ht="15" hidden="false" customHeight="false" outlineLevel="0" collapsed="false">
      <c r="A413" s="7" t="str">
        <f aca="false">IF($C413="","","M"&amp;TEXT(ROW()-1,"0000"))</f>
        <v/>
      </c>
      <c r="B413" s="5"/>
      <c r="C413" s="5"/>
      <c r="D413" s="5"/>
      <c r="E413" s="7" t="str">
        <f aca="false">IF($C413="","",IF(OR($C413="Receiving",$C413="Stock Count Adjustment"),$D413,-$D413))</f>
        <v/>
      </c>
      <c r="F413" s="5"/>
      <c r="G413" s="5"/>
      <c r="H413" s="5"/>
      <c r="I413" s="5"/>
      <c r="J413" s="5"/>
    </row>
    <row r="414" customFormat="false" ht="15" hidden="false" customHeight="false" outlineLevel="0" collapsed="false">
      <c r="A414" s="7" t="str">
        <f aca="false">IF($C414="","","M"&amp;TEXT(ROW()-1,"0000"))</f>
        <v/>
      </c>
      <c r="B414" s="5"/>
      <c r="C414" s="5"/>
      <c r="D414" s="5"/>
      <c r="E414" s="7" t="str">
        <f aca="false">IF($C414="","",IF(OR($C414="Receiving",$C414="Stock Count Adjustment"),$D414,-$D414))</f>
        <v/>
      </c>
      <c r="F414" s="5"/>
      <c r="G414" s="5"/>
      <c r="H414" s="5"/>
      <c r="I414" s="5"/>
      <c r="J414" s="5"/>
    </row>
    <row r="415" customFormat="false" ht="15" hidden="false" customHeight="false" outlineLevel="0" collapsed="false">
      <c r="A415" s="7" t="str">
        <f aca="false">IF($C415="","","M"&amp;TEXT(ROW()-1,"0000"))</f>
        <v/>
      </c>
      <c r="B415" s="5"/>
      <c r="C415" s="5"/>
      <c r="D415" s="5"/>
      <c r="E415" s="7" t="str">
        <f aca="false">IF($C415="","",IF(OR($C415="Receiving",$C415="Stock Count Adjustment"),$D415,-$D415))</f>
        <v/>
      </c>
      <c r="F415" s="5"/>
      <c r="G415" s="5"/>
      <c r="H415" s="5"/>
      <c r="I415" s="5"/>
      <c r="J415" s="5"/>
    </row>
    <row r="416" customFormat="false" ht="15" hidden="false" customHeight="false" outlineLevel="0" collapsed="false">
      <c r="A416" s="7" t="str">
        <f aca="false">IF($C416="","","M"&amp;TEXT(ROW()-1,"0000"))</f>
        <v/>
      </c>
      <c r="B416" s="5"/>
      <c r="C416" s="5"/>
      <c r="D416" s="5"/>
      <c r="E416" s="7" t="str">
        <f aca="false">IF($C416="","",IF(OR($C416="Receiving",$C416="Stock Count Adjustment"),$D416,-$D416))</f>
        <v/>
      </c>
      <c r="F416" s="5"/>
      <c r="G416" s="5"/>
      <c r="H416" s="5"/>
      <c r="I416" s="5"/>
      <c r="J416" s="5"/>
    </row>
    <row r="417" customFormat="false" ht="15" hidden="false" customHeight="false" outlineLevel="0" collapsed="false">
      <c r="A417" s="7" t="str">
        <f aca="false">IF($C417="","","M"&amp;TEXT(ROW()-1,"0000"))</f>
        <v/>
      </c>
      <c r="B417" s="5"/>
      <c r="C417" s="5"/>
      <c r="D417" s="5"/>
      <c r="E417" s="7" t="str">
        <f aca="false">IF($C417="","",IF(OR($C417="Receiving",$C417="Stock Count Adjustment"),$D417,-$D417))</f>
        <v/>
      </c>
      <c r="F417" s="5"/>
      <c r="G417" s="5"/>
      <c r="H417" s="5"/>
      <c r="I417" s="5"/>
      <c r="J417" s="5"/>
    </row>
    <row r="418" customFormat="false" ht="15" hidden="false" customHeight="false" outlineLevel="0" collapsed="false">
      <c r="A418" s="7" t="str">
        <f aca="false">IF($C418="","","M"&amp;TEXT(ROW()-1,"0000"))</f>
        <v/>
      </c>
      <c r="B418" s="5"/>
      <c r="C418" s="5"/>
      <c r="D418" s="5"/>
      <c r="E418" s="7" t="str">
        <f aca="false">IF($C418="","",IF(OR($C418="Receiving",$C418="Stock Count Adjustment"),$D418,-$D418))</f>
        <v/>
      </c>
      <c r="F418" s="5"/>
      <c r="G418" s="5"/>
      <c r="H418" s="5"/>
      <c r="I418" s="5"/>
      <c r="J418" s="5"/>
    </row>
    <row r="419" customFormat="false" ht="15" hidden="false" customHeight="false" outlineLevel="0" collapsed="false">
      <c r="A419" s="7" t="str">
        <f aca="false">IF($C419="","","M"&amp;TEXT(ROW()-1,"0000"))</f>
        <v/>
      </c>
      <c r="B419" s="5"/>
      <c r="C419" s="5"/>
      <c r="D419" s="5"/>
      <c r="E419" s="7" t="str">
        <f aca="false">IF($C419="","",IF(OR($C419="Receiving",$C419="Stock Count Adjustment"),$D419,-$D419))</f>
        <v/>
      </c>
      <c r="F419" s="5"/>
      <c r="G419" s="5"/>
      <c r="H419" s="5"/>
      <c r="I419" s="5"/>
      <c r="J419" s="5"/>
    </row>
    <row r="420" customFormat="false" ht="15" hidden="false" customHeight="false" outlineLevel="0" collapsed="false">
      <c r="A420" s="7" t="str">
        <f aca="false">IF($C420="","","M"&amp;TEXT(ROW()-1,"0000"))</f>
        <v/>
      </c>
      <c r="B420" s="5"/>
      <c r="C420" s="5"/>
      <c r="D420" s="5"/>
      <c r="E420" s="7" t="str">
        <f aca="false">IF($C420="","",IF(OR($C420="Receiving",$C420="Stock Count Adjustment"),$D420,-$D420))</f>
        <v/>
      </c>
      <c r="F420" s="5"/>
      <c r="G420" s="5"/>
      <c r="H420" s="5"/>
      <c r="I420" s="5"/>
      <c r="J420" s="5"/>
    </row>
    <row r="421" customFormat="false" ht="15" hidden="false" customHeight="false" outlineLevel="0" collapsed="false">
      <c r="A421" s="7" t="str">
        <f aca="false">IF($C421="","","M"&amp;TEXT(ROW()-1,"0000"))</f>
        <v/>
      </c>
      <c r="B421" s="5"/>
      <c r="C421" s="5"/>
      <c r="D421" s="5"/>
      <c r="E421" s="7" t="str">
        <f aca="false">IF($C421="","",IF(OR($C421="Receiving",$C421="Stock Count Adjustment"),$D421,-$D421))</f>
        <v/>
      </c>
      <c r="F421" s="5"/>
      <c r="G421" s="5"/>
      <c r="H421" s="5"/>
      <c r="I421" s="5"/>
      <c r="J421" s="5"/>
    </row>
    <row r="422" customFormat="false" ht="15" hidden="false" customHeight="false" outlineLevel="0" collapsed="false">
      <c r="A422" s="7" t="str">
        <f aca="false">IF($C422="","","M"&amp;TEXT(ROW()-1,"0000"))</f>
        <v/>
      </c>
      <c r="B422" s="5"/>
      <c r="C422" s="5"/>
      <c r="D422" s="5"/>
      <c r="E422" s="7" t="str">
        <f aca="false">IF($C422="","",IF(OR($C422="Receiving",$C422="Stock Count Adjustment"),$D422,-$D422))</f>
        <v/>
      </c>
      <c r="F422" s="5"/>
      <c r="G422" s="5"/>
      <c r="H422" s="5"/>
      <c r="I422" s="5"/>
      <c r="J422" s="5"/>
    </row>
    <row r="423" customFormat="false" ht="15" hidden="false" customHeight="false" outlineLevel="0" collapsed="false">
      <c r="A423" s="7" t="str">
        <f aca="false">IF($C423="","","M"&amp;TEXT(ROW()-1,"0000"))</f>
        <v/>
      </c>
      <c r="B423" s="5"/>
      <c r="C423" s="5"/>
      <c r="D423" s="5"/>
      <c r="E423" s="7" t="str">
        <f aca="false">IF($C423="","",IF(OR($C423="Receiving",$C423="Stock Count Adjustment"),$D423,-$D423))</f>
        <v/>
      </c>
      <c r="F423" s="5"/>
      <c r="G423" s="5"/>
      <c r="H423" s="5"/>
      <c r="I423" s="5"/>
      <c r="J423" s="5"/>
    </row>
    <row r="424" customFormat="false" ht="15" hidden="false" customHeight="false" outlineLevel="0" collapsed="false">
      <c r="A424" s="7" t="str">
        <f aca="false">IF($C424="","","M"&amp;TEXT(ROW()-1,"0000"))</f>
        <v/>
      </c>
      <c r="B424" s="5"/>
      <c r="C424" s="5"/>
      <c r="D424" s="5"/>
      <c r="E424" s="7" t="str">
        <f aca="false">IF($C424="","",IF(OR($C424="Receiving",$C424="Stock Count Adjustment"),$D424,-$D424))</f>
        <v/>
      </c>
      <c r="F424" s="5"/>
      <c r="G424" s="5"/>
      <c r="H424" s="5"/>
      <c r="I424" s="5"/>
      <c r="J424" s="5"/>
    </row>
    <row r="425" customFormat="false" ht="15" hidden="false" customHeight="false" outlineLevel="0" collapsed="false">
      <c r="A425" s="7" t="str">
        <f aca="false">IF($C425="","","M"&amp;TEXT(ROW()-1,"0000"))</f>
        <v/>
      </c>
      <c r="B425" s="5"/>
      <c r="C425" s="5"/>
      <c r="D425" s="5"/>
      <c r="E425" s="7" t="str">
        <f aca="false">IF($C425="","",IF(OR($C425="Receiving",$C425="Stock Count Adjustment"),$D425,-$D425))</f>
        <v/>
      </c>
      <c r="F425" s="5"/>
      <c r="G425" s="5"/>
      <c r="H425" s="5"/>
      <c r="I425" s="5"/>
      <c r="J425" s="5"/>
    </row>
    <row r="426" customFormat="false" ht="15" hidden="false" customHeight="false" outlineLevel="0" collapsed="false">
      <c r="A426" s="7" t="str">
        <f aca="false">IF($C426="","","M"&amp;TEXT(ROW()-1,"0000"))</f>
        <v/>
      </c>
      <c r="B426" s="5"/>
      <c r="C426" s="5"/>
      <c r="D426" s="5"/>
      <c r="E426" s="7" t="str">
        <f aca="false">IF($C426="","",IF(OR($C426="Receiving",$C426="Stock Count Adjustment"),$D426,-$D426))</f>
        <v/>
      </c>
      <c r="F426" s="5"/>
      <c r="G426" s="5"/>
      <c r="H426" s="5"/>
      <c r="I426" s="5"/>
      <c r="J426" s="5"/>
    </row>
    <row r="427" customFormat="false" ht="15" hidden="false" customHeight="false" outlineLevel="0" collapsed="false">
      <c r="A427" s="7" t="str">
        <f aca="false">IF($C427="","","M"&amp;TEXT(ROW()-1,"0000"))</f>
        <v/>
      </c>
      <c r="B427" s="5"/>
      <c r="C427" s="5"/>
      <c r="D427" s="5"/>
      <c r="E427" s="7" t="str">
        <f aca="false">IF($C427="","",IF(OR($C427="Receiving",$C427="Stock Count Adjustment"),$D427,-$D427))</f>
        <v/>
      </c>
      <c r="F427" s="5"/>
      <c r="G427" s="5"/>
      <c r="H427" s="5"/>
      <c r="I427" s="5"/>
      <c r="J427" s="5"/>
    </row>
    <row r="428" customFormat="false" ht="15" hidden="false" customHeight="false" outlineLevel="0" collapsed="false">
      <c r="A428" s="7" t="str">
        <f aca="false">IF($C428="","","M"&amp;TEXT(ROW()-1,"0000"))</f>
        <v/>
      </c>
      <c r="B428" s="5"/>
      <c r="C428" s="5"/>
      <c r="D428" s="5"/>
      <c r="E428" s="7" t="str">
        <f aca="false">IF($C428="","",IF(OR($C428="Receiving",$C428="Stock Count Adjustment"),$D428,-$D428))</f>
        <v/>
      </c>
      <c r="F428" s="5"/>
      <c r="G428" s="5"/>
      <c r="H428" s="5"/>
      <c r="I428" s="5"/>
      <c r="J428" s="5"/>
    </row>
    <row r="429" customFormat="false" ht="15" hidden="false" customHeight="false" outlineLevel="0" collapsed="false">
      <c r="A429" s="7" t="str">
        <f aca="false">IF($C429="","","M"&amp;TEXT(ROW()-1,"0000"))</f>
        <v/>
      </c>
      <c r="B429" s="5"/>
      <c r="C429" s="5"/>
      <c r="D429" s="5"/>
      <c r="E429" s="7" t="str">
        <f aca="false">IF($C429="","",IF(OR($C429="Receiving",$C429="Stock Count Adjustment"),$D429,-$D429))</f>
        <v/>
      </c>
      <c r="F429" s="5"/>
      <c r="G429" s="5"/>
      <c r="H429" s="5"/>
      <c r="I429" s="5"/>
      <c r="J429" s="5"/>
    </row>
    <row r="430" customFormat="false" ht="15" hidden="false" customHeight="false" outlineLevel="0" collapsed="false">
      <c r="A430" s="7" t="str">
        <f aca="false">IF($C430="","","M"&amp;TEXT(ROW()-1,"0000"))</f>
        <v/>
      </c>
      <c r="B430" s="5"/>
      <c r="C430" s="5"/>
      <c r="D430" s="5"/>
      <c r="E430" s="7" t="str">
        <f aca="false">IF($C430="","",IF(OR($C430="Receiving",$C430="Stock Count Adjustment"),$D430,-$D430))</f>
        <v/>
      </c>
      <c r="F430" s="5"/>
      <c r="G430" s="5"/>
      <c r="H430" s="5"/>
      <c r="I430" s="5"/>
      <c r="J430" s="5"/>
    </row>
    <row r="431" customFormat="false" ht="15" hidden="false" customHeight="false" outlineLevel="0" collapsed="false">
      <c r="A431" s="7" t="str">
        <f aca="false">IF($C431="","","M"&amp;TEXT(ROW()-1,"0000"))</f>
        <v/>
      </c>
      <c r="B431" s="5"/>
      <c r="C431" s="5"/>
      <c r="D431" s="5"/>
      <c r="E431" s="7" t="str">
        <f aca="false">IF($C431="","",IF(OR($C431="Receiving",$C431="Stock Count Adjustment"),$D431,-$D431))</f>
        <v/>
      </c>
      <c r="F431" s="5"/>
      <c r="G431" s="5"/>
      <c r="H431" s="5"/>
      <c r="I431" s="5"/>
      <c r="J431" s="5"/>
    </row>
    <row r="432" customFormat="false" ht="15" hidden="false" customHeight="false" outlineLevel="0" collapsed="false">
      <c r="A432" s="7" t="str">
        <f aca="false">IF($C432="","","M"&amp;TEXT(ROW()-1,"0000"))</f>
        <v/>
      </c>
      <c r="B432" s="5"/>
      <c r="C432" s="5"/>
      <c r="D432" s="5"/>
      <c r="E432" s="7" t="str">
        <f aca="false">IF($C432="","",IF(OR($C432="Receiving",$C432="Stock Count Adjustment"),$D432,-$D432))</f>
        <v/>
      </c>
      <c r="F432" s="5"/>
      <c r="G432" s="5"/>
      <c r="H432" s="5"/>
      <c r="I432" s="5"/>
      <c r="J432" s="5"/>
    </row>
    <row r="433" customFormat="false" ht="15" hidden="false" customHeight="false" outlineLevel="0" collapsed="false">
      <c r="A433" s="7" t="str">
        <f aca="false">IF($C433="","","M"&amp;TEXT(ROW()-1,"0000"))</f>
        <v/>
      </c>
      <c r="B433" s="5"/>
      <c r="C433" s="5"/>
      <c r="D433" s="5"/>
      <c r="E433" s="7" t="str">
        <f aca="false">IF($C433="","",IF(OR($C433="Receiving",$C433="Stock Count Adjustment"),$D433,-$D433))</f>
        <v/>
      </c>
      <c r="F433" s="5"/>
      <c r="G433" s="5"/>
      <c r="H433" s="5"/>
      <c r="I433" s="5"/>
      <c r="J433" s="5"/>
    </row>
    <row r="434" customFormat="false" ht="15" hidden="false" customHeight="false" outlineLevel="0" collapsed="false">
      <c r="A434" s="7" t="str">
        <f aca="false">IF($C434="","","M"&amp;TEXT(ROW()-1,"0000"))</f>
        <v/>
      </c>
      <c r="B434" s="5"/>
      <c r="C434" s="5"/>
      <c r="D434" s="5"/>
      <c r="E434" s="7" t="str">
        <f aca="false">IF($C434="","",IF(OR($C434="Receiving",$C434="Stock Count Adjustment"),$D434,-$D434))</f>
        <v/>
      </c>
      <c r="F434" s="5"/>
      <c r="G434" s="5"/>
      <c r="H434" s="5"/>
      <c r="I434" s="5"/>
      <c r="J434" s="5"/>
    </row>
    <row r="435" customFormat="false" ht="15" hidden="false" customHeight="false" outlineLevel="0" collapsed="false">
      <c r="A435" s="7" t="str">
        <f aca="false">IF($C435="","","M"&amp;TEXT(ROW()-1,"0000"))</f>
        <v/>
      </c>
      <c r="B435" s="5"/>
      <c r="C435" s="5"/>
      <c r="D435" s="5"/>
      <c r="E435" s="7" t="str">
        <f aca="false">IF($C435="","",IF(OR($C435="Receiving",$C435="Stock Count Adjustment"),$D435,-$D435))</f>
        <v/>
      </c>
      <c r="F435" s="5"/>
      <c r="G435" s="5"/>
      <c r="H435" s="5"/>
      <c r="I435" s="5"/>
      <c r="J435" s="5"/>
    </row>
    <row r="436" customFormat="false" ht="15" hidden="false" customHeight="false" outlineLevel="0" collapsed="false">
      <c r="A436" s="7" t="str">
        <f aca="false">IF($C436="","","M"&amp;TEXT(ROW()-1,"0000"))</f>
        <v/>
      </c>
      <c r="B436" s="5"/>
      <c r="C436" s="5"/>
      <c r="D436" s="5"/>
      <c r="E436" s="7" t="str">
        <f aca="false">IF($C436="","",IF(OR($C436="Receiving",$C436="Stock Count Adjustment"),$D436,-$D436))</f>
        <v/>
      </c>
      <c r="F436" s="5"/>
      <c r="G436" s="5"/>
      <c r="H436" s="5"/>
      <c r="I436" s="5"/>
      <c r="J436" s="5"/>
    </row>
    <row r="437" customFormat="false" ht="15" hidden="false" customHeight="false" outlineLevel="0" collapsed="false">
      <c r="A437" s="7" t="str">
        <f aca="false">IF($C437="","","M"&amp;TEXT(ROW()-1,"0000"))</f>
        <v/>
      </c>
      <c r="B437" s="5"/>
      <c r="C437" s="5"/>
      <c r="D437" s="5"/>
      <c r="E437" s="7" t="str">
        <f aca="false">IF($C437="","",IF(OR($C437="Receiving",$C437="Stock Count Adjustment"),$D437,-$D437))</f>
        <v/>
      </c>
      <c r="F437" s="5"/>
      <c r="G437" s="5"/>
      <c r="H437" s="5"/>
      <c r="I437" s="5"/>
      <c r="J437" s="5"/>
    </row>
    <row r="438" customFormat="false" ht="15" hidden="false" customHeight="false" outlineLevel="0" collapsed="false">
      <c r="A438" s="7" t="str">
        <f aca="false">IF($C438="","","M"&amp;TEXT(ROW()-1,"0000"))</f>
        <v/>
      </c>
      <c r="B438" s="5"/>
      <c r="C438" s="5"/>
      <c r="D438" s="5"/>
      <c r="E438" s="7" t="str">
        <f aca="false">IF($C438="","",IF(OR($C438="Receiving",$C438="Stock Count Adjustment"),$D438,-$D438))</f>
        <v/>
      </c>
      <c r="F438" s="5"/>
      <c r="G438" s="5"/>
      <c r="H438" s="5"/>
      <c r="I438" s="5"/>
      <c r="J438" s="5"/>
    </row>
    <row r="439" customFormat="false" ht="15" hidden="false" customHeight="false" outlineLevel="0" collapsed="false">
      <c r="A439" s="7" t="str">
        <f aca="false">IF($C439="","","M"&amp;TEXT(ROW()-1,"0000"))</f>
        <v/>
      </c>
      <c r="B439" s="5"/>
      <c r="C439" s="5"/>
      <c r="D439" s="5"/>
      <c r="E439" s="7" t="str">
        <f aca="false">IF($C439="","",IF(OR($C439="Receiving",$C439="Stock Count Adjustment"),$D439,-$D439))</f>
        <v/>
      </c>
      <c r="F439" s="5"/>
      <c r="G439" s="5"/>
      <c r="H439" s="5"/>
      <c r="I439" s="5"/>
      <c r="J439" s="5"/>
    </row>
    <row r="440" customFormat="false" ht="15" hidden="false" customHeight="false" outlineLevel="0" collapsed="false">
      <c r="A440" s="7" t="str">
        <f aca="false">IF($C440="","","M"&amp;TEXT(ROW()-1,"0000"))</f>
        <v/>
      </c>
      <c r="B440" s="5"/>
      <c r="C440" s="5"/>
      <c r="D440" s="5"/>
      <c r="E440" s="7" t="str">
        <f aca="false">IF($C440="","",IF(OR($C440="Receiving",$C440="Stock Count Adjustment"),$D440,-$D440))</f>
        <v/>
      </c>
      <c r="F440" s="5"/>
      <c r="G440" s="5"/>
      <c r="H440" s="5"/>
      <c r="I440" s="5"/>
      <c r="J440" s="5"/>
    </row>
    <row r="441" customFormat="false" ht="15" hidden="false" customHeight="false" outlineLevel="0" collapsed="false">
      <c r="A441" s="7" t="str">
        <f aca="false">IF($C441="","","M"&amp;TEXT(ROW()-1,"0000"))</f>
        <v/>
      </c>
      <c r="B441" s="5"/>
      <c r="C441" s="5"/>
      <c r="D441" s="5"/>
      <c r="E441" s="7" t="str">
        <f aca="false">IF($C441="","",IF(OR($C441="Receiving",$C441="Stock Count Adjustment"),$D441,-$D441))</f>
        <v/>
      </c>
      <c r="F441" s="5"/>
      <c r="G441" s="5"/>
      <c r="H441" s="5"/>
      <c r="I441" s="5"/>
      <c r="J441" s="5"/>
    </row>
    <row r="442" customFormat="false" ht="15" hidden="false" customHeight="false" outlineLevel="0" collapsed="false">
      <c r="A442" s="7" t="str">
        <f aca="false">IF($C442="","","M"&amp;TEXT(ROW()-1,"0000"))</f>
        <v/>
      </c>
      <c r="B442" s="5"/>
      <c r="C442" s="5"/>
      <c r="D442" s="5"/>
      <c r="E442" s="7" t="str">
        <f aca="false">IF($C442="","",IF(OR($C442="Receiving",$C442="Stock Count Adjustment"),$D442,-$D442))</f>
        <v/>
      </c>
      <c r="F442" s="5"/>
      <c r="G442" s="5"/>
      <c r="H442" s="5"/>
      <c r="I442" s="5"/>
      <c r="J442" s="5"/>
    </row>
    <row r="443" customFormat="false" ht="15" hidden="false" customHeight="false" outlineLevel="0" collapsed="false">
      <c r="A443" s="7" t="str">
        <f aca="false">IF($C443="","","M"&amp;TEXT(ROW()-1,"0000"))</f>
        <v/>
      </c>
      <c r="B443" s="5"/>
      <c r="C443" s="5"/>
      <c r="D443" s="5"/>
      <c r="E443" s="7" t="str">
        <f aca="false">IF($C443="","",IF(OR($C443="Receiving",$C443="Stock Count Adjustment"),$D443,-$D443))</f>
        <v/>
      </c>
      <c r="F443" s="5"/>
      <c r="G443" s="5"/>
      <c r="H443" s="5"/>
      <c r="I443" s="5"/>
      <c r="J443" s="5"/>
    </row>
    <row r="444" customFormat="false" ht="15" hidden="false" customHeight="false" outlineLevel="0" collapsed="false">
      <c r="A444" s="7" t="str">
        <f aca="false">IF($C444="","","M"&amp;TEXT(ROW()-1,"0000"))</f>
        <v/>
      </c>
      <c r="B444" s="5"/>
      <c r="C444" s="5"/>
      <c r="D444" s="5"/>
      <c r="E444" s="7" t="str">
        <f aca="false">IF($C444="","",IF(OR($C444="Receiving",$C444="Stock Count Adjustment"),$D444,-$D444))</f>
        <v/>
      </c>
      <c r="F444" s="5"/>
      <c r="G444" s="5"/>
      <c r="H444" s="5"/>
      <c r="I444" s="5"/>
      <c r="J444" s="5"/>
    </row>
    <row r="445" customFormat="false" ht="15" hidden="false" customHeight="false" outlineLevel="0" collapsed="false">
      <c r="A445" s="7" t="str">
        <f aca="false">IF($C445="","","M"&amp;TEXT(ROW()-1,"0000"))</f>
        <v/>
      </c>
      <c r="B445" s="5"/>
      <c r="C445" s="5"/>
      <c r="D445" s="5"/>
      <c r="E445" s="7" t="str">
        <f aca="false">IF($C445="","",IF(OR($C445="Receiving",$C445="Stock Count Adjustment"),$D445,-$D445))</f>
        <v/>
      </c>
      <c r="F445" s="5"/>
      <c r="G445" s="5"/>
      <c r="H445" s="5"/>
      <c r="I445" s="5"/>
      <c r="J445" s="5"/>
    </row>
    <row r="446" customFormat="false" ht="15" hidden="false" customHeight="false" outlineLevel="0" collapsed="false">
      <c r="A446" s="7" t="str">
        <f aca="false">IF($C446="","","M"&amp;TEXT(ROW()-1,"0000"))</f>
        <v/>
      </c>
      <c r="B446" s="5"/>
      <c r="C446" s="5"/>
      <c r="D446" s="5"/>
      <c r="E446" s="7" t="str">
        <f aca="false">IF($C446="","",IF(OR($C446="Receiving",$C446="Stock Count Adjustment"),$D446,-$D446))</f>
        <v/>
      </c>
      <c r="F446" s="5"/>
      <c r="G446" s="5"/>
      <c r="H446" s="5"/>
      <c r="I446" s="5"/>
      <c r="J446" s="5"/>
    </row>
    <row r="447" customFormat="false" ht="15" hidden="false" customHeight="false" outlineLevel="0" collapsed="false">
      <c r="A447" s="7" t="str">
        <f aca="false">IF($C447="","","M"&amp;TEXT(ROW()-1,"0000"))</f>
        <v/>
      </c>
      <c r="B447" s="5"/>
      <c r="C447" s="5"/>
      <c r="D447" s="5"/>
      <c r="E447" s="7" t="str">
        <f aca="false">IF($C447="","",IF(OR($C447="Receiving",$C447="Stock Count Adjustment"),$D447,-$D447))</f>
        <v/>
      </c>
      <c r="F447" s="5"/>
      <c r="G447" s="5"/>
      <c r="H447" s="5"/>
      <c r="I447" s="5"/>
      <c r="J447" s="5"/>
    </row>
    <row r="448" customFormat="false" ht="15" hidden="false" customHeight="false" outlineLevel="0" collapsed="false">
      <c r="A448" s="7" t="str">
        <f aca="false">IF($C448="","","M"&amp;TEXT(ROW()-1,"0000"))</f>
        <v/>
      </c>
      <c r="B448" s="5"/>
      <c r="C448" s="5"/>
      <c r="D448" s="5"/>
      <c r="E448" s="7" t="str">
        <f aca="false">IF($C448="","",IF(OR($C448="Receiving",$C448="Stock Count Adjustment"),$D448,-$D448))</f>
        <v/>
      </c>
      <c r="F448" s="5"/>
      <c r="G448" s="5"/>
      <c r="H448" s="5"/>
      <c r="I448" s="5"/>
      <c r="J448" s="5"/>
    </row>
    <row r="449" customFormat="false" ht="15" hidden="false" customHeight="false" outlineLevel="0" collapsed="false">
      <c r="A449" s="7" t="str">
        <f aca="false">IF($C449="","","M"&amp;TEXT(ROW()-1,"0000"))</f>
        <v/>
      </c>
      <c r="B449" s="5"/>
      <c r="C449" s="5"/>
      <c r="D449" s="5"/>
      <c r="E449" s="7" t="str">
        <f aca="false">IF($C449="","",IF(OR($C449="Receiving",$C449="Stock Count Adjustment"),$D449,-$D449))</f>
        <v/>
      </c>
      <c r="F449" s="5"/>
      <c r="G449" s="5"/>
      <c r="H449" s="5"/>
      <c r="I449" s="5"/>
      <c r="J449" s="5"/>
    </row>
    <row r="450" customFormat="false" ht="15" hidden="false" customHeight="false" outlineLevel="0" collapsed="false">
      <c r="A450" s="7" t="str">
        <f aca="false">IF($C450="","","M"&amp;TEXT(ROW()-1,"0000"))</f>
        <v/>
      </c>
      <c r="B450" s="5"/>
      <c r="C450" s="5"/>
      <c r="D450" s="5"/>
      <c r="E450" s="7" t="str">
        <f aca="false">IF($C450="","",IF(OR($C450="Receiving",$C450="Stock Count Adjustment"),$D450,-$D450))</f>
        <v/>
      </c>
      <c r="F450" s="5"/>
      <c r="G450" s="5"/>
      <c r="H450" s="5"/>
      <c r="I450" s="5"/>
      <c r="J450" s="5"/>
    </row>
    <row r="451" customFormat="false" ht="15" hidden="false" customHeight="false" outlineLevel="0" collapsed="false">
      <c r="A451" s="7" t="str">
        <f aca="false">IF($C451="","","M"&amp;TEXT(ROW()-1,"0000"))</f>
        <v/>
      </c>
      <c r="B451" s="5"/>
      <c r="C451" s="5"/>
      <c r="D451" s="5"/>
      <c r="E451" s="7" t="str">
        <f aca="false">IF($C451="","",IF(OR($C451="Receiving",$C451="Stock Count Adjustment"),$D451,-$D451))</f>
        <v/>
      </c>
      <c r="F451" s="5"/>
      <c r="G451" s="5"/>
      <c r="H451" s="5"/>
      <c r="I451" s="5"/>
      <c r="J451" s="5"/>
    </row>
    <row r="452" customFormat="false" ht="15" hidden="false" customHeight="false" outlineLevel="0" collapsed="false">
      <c r="A452" s="7" t="str">
        <f aca="false">IF($C452="","","M"&amp;TEXT(ROW()-1,"0000"))</f>
        <v/>
      </c>
      <c r="B452" s="5"/>
      <c r="C452" s="5"/>
      <c r="D452" s="5"/>
      <c r="E452" s="7" t="str">
        <f aca="false">IF($C452="","",IF(OR($C452="Receiving",$C452="Stock Count Adjustment"),$D452,-$D452))</f>
        <v/>
      </c>
      <c r="F452" s="5"/>
      <c r="G452" s="5"/>
      <c r="H452" s="5"/>
      <c r="I452" s="5"/>
      <c r="J452" s="5"/>
    </row>
    <row r="453" customFormat="false" ht="15" hidden="false" customHeight="false" outlineLevel="0" collapsed="false">
      <c r="A453" s="7" t="str">
        <f aca="false">IF($C453="","","M"&amp;TEXT(ROW()-1,"0000"))</f>
        <v/>
      </c>
      <c r="B453" s="5"/>
      <c r="C453" s="5"/>
      <c r="D453" s="5"/>
      <c r="E453" s="7" t="str">
        <f aca="false">IF($C453="","",IF(OR($C453="Receiving",$C453="Stock Count Adjustment"),$D453,-$D453))</f>
        <v/>
      </c>
      <c r="F453" s="5"/>
      <c r="G453" s="5"/>
      <c r="H453" s="5"/>
      <c r="I453" s="5"/>
      <c r="J453" s="5"/>
    </row>
    <row r="454" customFormat="false" ht="15" hidden="false" customHeight="false" outlineLevel="0" collapsed="false">
      <c r="A454" s="7" t="str">
        <f aca="false">IF($C454="","","M"&amp;TEXT(ROW()-1,"0000"))</f>
        <v/>
      </c>
      <c r="B454" s="5"/>
      <c r="C454" s="5"/>
      <c r="D454" s="5"/>
      <c r="E454" s="7" t="str">
        <f aca="false">IF($C454="","",IF(OR($C454="Receiving",$C454="Stock Count Adjustment"),$D454,-$D454))</f>
        <v/>
      </c>
      <c r="F454" s="5"/>
      <c r="G454" s="5"/>
      <c r="H454" s="5"/>
      <c r="I454" s="5"/>
      <c r="J454" s="5"/>
    </row>
    <row r="455" customFormat="false" ht="15" hidden="false" customHeight="false" outlineLevel="0" collapsed="false">
      <c r="A455" s="7" t="str">
        <f aca="false">IF($C455="","","M"&amp;TEXT(ROW()-1,"0000"))</f>
        <v/>
      </c>
      <c r="B455" s="5"/>
      <c r="C455" s="5"/>
      <c r="D455" s="5"/>
      <c r="E455" s="7" t="str">
        <f aca="false">IF($C455="","",IF(OR($C455="Receiving",$C455="Stock Count Adjustment"),$D455,-$D455))</f>
        <v/>
      </c>
      <c r="F455" s="5"/>
      <c r="G455" s="5"/>
      <c r="H455" s="5"/>
      <c r="I455" s="5"/>
      <c r="J455" s="5"/>
    </row>
    <row r="456" customFormat="false" ht="15" hidden="false" customHeight="false" outlineLevel="0" collapsed="false">
      <c r="A456" s="7" t="str">
        <f aca="false">IF($C456="","","M"&amp;TEXT(ROW()-1,"0000"))</f>
        <v/>
      </c>
      <c r="B456" s="5"/>
      <c r="C456" s="5"/>
      <c r="D456" s="5"/>
      <c r="E456" s="7" t="str">
        <f aca="false">IF($C456="","",IF(OR($C456="Receiving",$C456="Stock Count Adjustment"),$D456,-$D456))</f>
        <v/>
      </c>
      <c r="F456" s="5"/>
      <c r="G456" s="5"/>
      <c r="H456" s="5"/>
      <c r="I456" s="5"/>
      <c r="J456" s="5"/>
    </row>
    <row r="457" customFormat="false" ht="15" hidden="false" customHeight="false" outlineLevel="0" collapsed="false">
      <c r="A457" s="7" t="str">
        <f aca="false">IF($C457="","","M"&amp;TEXT(ROW()-1,"0000"))</f>
        <v/>
      </c>
      <c r="B457" s="5"/>
      <c r="C457" s="5"/>
      <c r="D457" s="5"/>
      <c r="E457" s="7" t="str">
        <f aca="false">IF($C457="","",IF(OR($C457="Receiving",$C457="Stock Count Adjustment"),$D457,-$D457))</f>
        <v/>
      </c>
      <c r="F457" s="5"/>
      <c r="G457" s="5"/>
      <c r="H457" s="5"/>
      <c r="I457" s="5"/>
      <c r="J457" s="5"/>
    </row>
    <row r="458" customFormat="false" ht="15" hidden="false" customHeight="false" outlineLevel="0" collapsed="false">
      <c r="A458" s="7" t="str">
        <f aca="false">IF($C458="","","M"&amp;TEXT(ROW()-1,"0000"))</f>
        <v/>
      </c>
      <c r="B458" s="5"/>
      <c r="C458" s="5"/>
      <c r="D458" s="5"/>
      <c r="E458" s="7" t="str">
        <f aca="false">IF($C458="","",IF(OR($C458="Receiving",$C458="Stock Count Adjustment"),$D458,-$D458))</f>
        <v/>
      </c>
      <c r="F458" s="5"/>
      <c r="G458" s="5"/>
      <c r="H458" s="5"/>
      <c r="I458" s="5"/>
      <c r="J458" s="5"/>
    </row>
    <row r="459" customFormat="false" ht="15" hidden="false" customHeight="false" outlineLevel="0" collapsed="false">
      <c r="A459" s="7" t="str">
        <f aca="false">IF($C459="","","M"&amp;TEXT(ROW()-1,"0000"))</f>
        <v/>
      </c>
      <c r="B459" s="5"/>
      <c r="C459" s="5"/>
      <c r="D459" s="5"/>
      <c r="E459" s="7" t="str">
        <f aca="false">IF($C459="","",IF(OR($C459="Receiving",$C459="Stock Count Adjustment"),$D459,-$D459))</f>
        <v/>
      </c>
      <c r="F459" s="5"/>
      <c r="G459" s="5"/>
      <c r="H459" s="5"/>
      <c r="I459" s="5"/>
      <c r="J459" s="5"/>
    </row>
    <row r="460" customFormat="false" ht="15" hidden="false" customHeight="false" outlineLevel="0" collapsed="false">
      <c r="A460" s="7" t="str">
        <f aca="false">IF($C460="","","M"&amp;TEXT(ROW()-1,"0000"))</f>
        <v/>
      </c>
      <c r="B460" s="5"/>
      <c r="C460" s="5"/>
      <c r="D460" s="5"/>
      <c r="E460" s="7" t="str">
        <f aca="false">IF($C460="","",IF(OR($C460="Receiving",$C460="Stock Count Adjustment"),$D460,-$D460))</f>
        <v/>
      </c>
      <c r="F460" s="5"/>
      <c r="G460" s="5"/>
      <c r="H460" s="5"/>
      <c r="I460" s="5"/>
      <c r="J460" s="5"/>
    </row>
    <row r="461" customFormat="false" ht="15" hidden="false" customHeight="false" outlineLevel="0" collapsed="false">
      <c r="A461" s="7" t="str">
        <f aca="false">IF($C461="","","M"&amp;TEXT(ROW()-1,"0000"))</f>
        <v/>
      </c>
      <c r="B461" s="5"/>
      <c r="C461" s="5"/>
      <c r="D461" s="5"/>
      <c r="E461" s="7" t="str">
        <f aca="false">IF($C461="","",IF(OR($C461="Receiving",$C461="Stock Count Adjustment"),$D461,-$D461))</f>
        <v/>
      </c>
      <c r="F461" s="5"/>
      <c r="G461" s="5"/>
      <c r="H461" s="5"/>
      <c r="I461" s="5"/>
      <c r="J461" s="5"/>
    </row>
    <row r="462" customFormat="false" ht="15" hidden="false" customHeight="false" outlineLevel="0" collapsed="false">
      <c r="A462" s="7" t="str">
        <f aca="false">IF($C462="","","M"&amp;TEXT(ROW()-1,"0000"))</f>
        <v/>
      </c>
      <c r="B462" s="5"/>
      <c r="C462" s="5"/>
      <c r="D462" s="5"/>
      <c r="E462" s="7" t="str">
        <f aca="false">IF($C462="","",IF(OR($C462="Receiving",$C462="Stock Count Adjustment"),$D462,-$D462))</f>
        <v/>
      </c>
      <c r="F462" s="5"/>
      <c r="G462" s="5"/>
      <c r="H462" s="5"/>
      <c r="I462" s="5"/>
      <c r="J462" s="5"/>
    </row>
    <row r="463" customFormat="false" ht="15" hidden="false" customHeight="false" outlineLevel="0" collapsed="false">
      <c r="A463" s="7" t="str">
        <f aca="false">IF($C463="","","M"&amp;TEXT(ROW()-1,"0000"))</f>
        <v/>
      </c>
      <c r="B463" s="5"/>
      <c r="C463" s="5"/>
      <c r="D463" s="5"/>
      <c r="E463" s="7" t="str">
        <f aca="false">IF($C463="","",IF(OR($C463="Receiving",$C463="Stock Count Adjustment"),$D463,-$D463))</f>
        <v/>
      </c>
      <c r="F463" s="5"/>
      <c r="G463" s="5"/>
      <c r="H463" s="5"/>
      <c r="I463" s="5"/>
      <c r="J463" s="5"/>
    </row>
    <row r="464" customFormat="false" ht="15" hidden="false" customHeight="false" outlineLevel="0" collapsed="false">
      <c r="A464" s="7" t="str">
        <f aca="false">IF($C464="","","M"&amp;TEXT(ROW()-1,"0000"))</f>
        <v/>
      </c>
      <c r="B464" s="5"/>
      <c r="C464" s="5"/>
      <c r="D464" s="5"/>
      <c r="E464" s="7" t="str">
        <f aca="false">IF($C464="","",IF(OR($C464="Receiving",$C464="Stock Count Adjustment"),$D464,-$D464))</f>
        <v/>
      </c>
      <c r="F464" s="5"/>
      <c r="G464" s="5"/>
      <c r="H464" s="5"/>
      <c r="I464" s="5"/>
      <c r="J464" s="5"/>
    </row>
    <row r="465" customFormat="false" ht="15" hidden="false" customHeight="false" outlineLevel="0" collapsed="false">
      <c r="A465" s="7" t="str">
        <f aca="false">IF($C465="","","M"&amp;TEXT(ROW()-1,"0000"))</f>
        <v/>
      </c>
      <c r="B465" s="5"/>
      <c r="C465" s="5"/>
      <c r="D465" s="5"/>
      <c r="E465" s="7" t="str">
        <f aca="false">IF($C465="","",IF(OR($C465="Receiving",$C465="Stock Count Adjustment"),$D465,-$D465))</f>
        <v/>
      </c>
      <c r="F465" s="5"/>
      <c r="G465" s="5"/>
      <c r="H465" s="5"/>
      <c r="I465" s="5"/>
      <c r="J465" s="5"/>
    </row>
    <row r="466" customFormat="false" ht="15" hidden="false" customHeight="false" outlineLevel="0" collapsed="false">
      <c r="A466" s="7" t="str">
        <f aca="false">IF($C466="","","M"&amp;TEXT(ROW()-1,"0000"))</f>
        <v/>
      </c>
      <c r="B466" s="5"/>
      <c r="C466" s="5"/>
      <c r="D466" s="5"/>
      <c r="E466" s="7" t="str">
        <f aca="false">IF($C466="","",IF(OR($C466="Receiving",$C466="Stock Count Adjustment"),$D466,-$D466))</f>
        <v/>
      </c>
      <c r="F466" s="5"/>
      <c r="G466" s="5"/>
      <c r="H466" s="5"/>
      <c r="I466" s="5"/>
      <c r="J466" s="5"/>
    </row>
    <row r="467" customFormat="false" ht="15" hidden="false" customHeight="false" outlineLevel="0" collapsed="false">
      <c r="A467" s="7" t="str">
        <f aca="false">IF($C467="","","M"&amp;TEXT(ROW()-1,"0000"))</f>
        <v/>
      </c>
      <c r="B467" s="5"/>
      <c r="C467" s="5"/>
      <c r="D467" s="5"/>
      <c r="E467" s="7" t="str">
        <f aca="false">IF($C467="","",IF(OR($C467="Receiving",$C467="Stock Count Adjustment"),$D467,-$D467))</f>
        <v/>
      </c>
      <c r="F467" s="5"/>
      <c r="G467" s="5"/>
      <c r="H467" s="5"/>
      <c r="I467" s="5"/>
      <c r="J467" s="5"/>
    </row>
    <row r="468" customFormat="false" ht="15" hidden="false" customHeight="false" outlineLevel="0" collapsed="false">
      <c r="A468" s="7" t="str">
        <f aca="false">IF($C468="","","M"&amp;TEXT(ROW()-1,"0000"))</f>
        <v/>
      </c>
      <c r="B468" s="5"/>
      <c r="C468" s="5"/>
      <c r="D468" s="5"/>
      <c r="E468" s="7" t="str">
        <f aca="false">IF($C468="","",IF(OR($C468="Receiving",$C468="Stock Count Adjustment"),$D468,-$D468))</f>
        <v/>
      </c>
      <c r="F468" s="5"/>
      <c r="G468" s="5"/>
      <c r="H468" s="5"/>
      <c r="I468" s="5"/>
      <c r="J468" s="5"/>
    </row>
    <row r="469" customFormat="false" ht="15" hidden="false" customHeight="false" outlineLevel="0" collapsed="false">
      <c r="A469" s="7" t="str">
        <f aca="false">IF($C469="","","M"&amp;TEXT(ROW()-1,"0000"))</f>
        <v/>
      </c>
      <c r="B469" s="5"/>
      <c r="C469" s="5"/>
      <c r="D469" s="5"/>
      <c r="E469" s="7" t="str">
        <f aca="false">IF($C469="","",IF(OR($C469="Receiving",$C469="Stock Count Adjustment"),$D469,-$D469))</f>
        <v/>
      </c>
      <c r="F469" s="5"/>
      <c r="G469" s="5"/>
      <c r="H469" s="5"/>
      <c r="I469" s="5"/>
      <c r="J469" s="5"/>
    </row>
    <row r="470" customFormat="false" ht="15" hidden="false" customHeight="false" outlineLevel="0" collapsed="false">
      <c r="A470" s="7" t="str">
        <f aca="false">IF($C470="","","M"&amp;TEXT(ROW()-1,"0000"))</f>
        <v/>
      </c>
      <c r="B470" s="5"/>
      <c r="C470" s="5"/>
      <c r="D470" s="5"/>
      <c r="E470" s="7" t="str">
        <f aca="false">IF($C470="","",IF(OR($C470="Receiving",$C470="Stock Count Adjustment"),$D470,-$D470))</f>
        <v/>
      </c>
      <c r="F470" s="5"/>
      <c r="G470" s="5"/>
      <c r="H470" s="5"/>
      <c r="I470" s="5"/>
      <c r="J470" s="5"/>
    </row>
    <row r="471" customFormat="false" ht="15" hidden="false" customHeight="false" outlineLevel="0" collapsed="false">
      <c r="A471" s="7" t="str">
        <f aca="false">IF($C471="","","M"&amp;TEXT(ROW()-1,"0000"))</f>
        <v/>
      </c>
      <c r="B471" s="5"/>
      <c r="C471" s="5"/>
      <c r="D471" s="5"/>
      <c r="E471" s="7" t="str">
        <f aca="false">IF($C471="","",IF(OR($C471="Receiving",$C471="Stock Count Adjustment"),$D471,-$D471))</f>
        <v/>
      </c>
      <c r="F471" s="5"/>
      <c r="G471" s="5"/>
      <c r="H471" s="5"/>
      <c r="I471" s="5"/>
      <c r="J471" s="5"/>
    </row>
    <row r="472" customFormat="false" ht="15" hidden="false" customHeight="false" outlineLevel="0" collapsed="false">
      <c r="A472" s="7" t="str">
        <f aca="false">IF($C472="","","M"&amp;TEXT(ROW()-1,"0000"))</f>
        <v/>
      </c>
      <c r="B472" s="5"/>
      <c r="C472" s="5"/>
      <c r="D472" s="5"/>
      <c r="E472" s="7" t="str">
        <f aca="false">IF($C472="","",IF(OR($C472="Receiving",$C472="Stock Count Adjustment"),$D472,-$D472))</f>
        <v/>
      </c>
      <c r="F472" s="5"/>
      <c r="G472" s="5"/>
      <c r="H472" s="5"/>
      <c r="I472" s="5"/>
      <c r="J472" s="5"/>
    </row>
    <row r="473" customFormat="false" ht="15" hidden="false" customHeight="false" outlineLevel="0" collapsed="false">
      <c r="A473" s="7" t="str">
        <f aca="false">IF($C473="","","M"&amp;TEXT(ROW()-1,"0000"))</f>
        <v/>
      </c>
      <c r="B473" s="5"/>
      <c r="C473" s="5"/>
      <c r="D473" s="5"/>
      <c r="E473" s="7" t="str">
        <f aca="false">IF($C473="","",IF(OR($C473="Receiving",$C473="Stock Count Adjustment"),$D473,-$D473))</f>
        <v/>
      </c>
      <c r="F473" s="5"/>
      <c r="G473" s="5"/>
      <c r="H473" s="5"/>
      <c r="I473" s="5"/>
      <c r="J473" s="5"/>
    </row>
    <row r="474" customFormat="false" ht="15" hidden="false" customHeight="false" outlineLevel="0" collapsed="false">
      <c r="A474" s="7" t="str">
        <f aca="false">IF($C474="","","M"&amp;TEXT(ROW()-1,"0000"))</f>
        <v/>
      </c>
      <c r="B474" s="5"/>
      <c r="C474" s="5"/>
      <c r="D474" s="5"/>
      <c r="E474" s="7" t="str">
        <f aca="false">IF($C474="","",IF(OR($C474="Receiving",$C474="Stock Count Adjustment"),$D474,-$D474))</f>
        <v/>
      </c>
      <c r="F474" s="5"/>
      <c r="G474" s="5"/>
      <c r="H474" s="5"/>
      <c r="I474" s="5"/>
      <c r="J474" s="5"/>
    </row>
    <row r="475" customFormat="false" ht="15" hidden="false" customHeight="false" outlineLevel="0" collapsed="false">
      <c r="A475" s="7" t="str">
        <f aca="false">IF($C475="","","M"&amp;TEXT(ROW()-1,"0000"))</f>
        <v/>
      </c>
      <c r="B475" s="5"/>
      <c r="C475" s="5"/>
      <c r="D475" s="5"/>
      <c r="E475" s="7" t="str">
        <f aca="false">IF($C475="","",IF(OR($C475="Receiving",$C475="Stock Count Adjustment"),$D475,-$D475))</f>
        <v/>
      </c>
      <c r="F475" s="5"/>
      <c r="G475" s="5"/>
      <c r="H475" s="5"/>
      <c r="I475" s="5"/>
      <c r="J475" s="5"/>
    </row>
    <row r="476" customFormat="false" ht="15" hidden="false" customHeight="false" outlineLevel="0" collapsed="false">
      <c r="A476" s="7" t="str">
        <f aca="false">IF($C476="","","M"&amp;TEXT(ROW()-1,"0000"))</f>
        <v/>
      </c>
      <c r="B476" s="5"/>
      <c r="C476" s="5"/>
      <c r="D476" s="5"/>
      <c r="E476" s="7" t="str">
        <f aca="false">IF($C476="","",IF(OR($C476="Receiving",$C476="Stock Count Adjustment"),$D476,-$D476))</f>
        <v/>
      </c>
      <c r="F476" s="5"/>
      <c r="G476" s="5"/>
      <c r="H476" s="5"/>
      <c r="I476" s="5"/>
      <c r="J476" s="5"/>
    </row>
    <row r="477" customFormat="false" ht="15" hidden="false" customHeight="false" outlineLevel="0" collapsed="false">
      <c r="A477" s="7" t="str">
        <f aca="false">IF($C477="","","M"&amp;TEXT(ROW()-1,"0000"))</f>
        <v/>
      </c>
      <c r="B477" s="5"/>
      <c r="C477" s="5"/>
      <c r="D477" s="5"/>
      <c r="E477" s="7" t="str">
        <f aca="false">IF($C477="","",IF(OR($C477="Receiving",$C477="Stock Count Adjustment"),$D477,-$D477))</f>
        <v/>
      </c>
      <c r="F477" s="5"/>
      <c r="G477" s="5"/>
      <c r="H477" s="5"/>
      <c r="I477" s="5"/>
      <c r="J477" s="5"/>
    </row>
    <row r="478" customFormat="false" ht="15" hidden="false" customHeight="false" outlineLevel="0" collapsed="false">
      <c r="A478" s="7" t="str">
        <f aca="false">IF($C478="","","M"&amp;TEXT(ROW()-1,"0000"))</f>
        <v/>
      </c>
      <c r="B478" s="5"/>
      <c r="C478" s="5"/>
      <c r="D478" s="5"/>
      <c r="E478" s="7" t="str">
        <f aca="false">IF($C478="","",IF(OR($C478="Receiving",$C478="Stock Count Adjustment"),$D478,-$D478))</f>
        <v/>
      </c>
      <c r="F478" s="5"/>
      <c r="G478" s="5"/>
      <c r="H478" s="5"/>
      <c r="I478" s="5"/>
      <c r="J478" s="5"/>
    </row>
    <row r="479" customFormat="false" ht="15" hidden="false" customHeight="false" outlineLevel="0" collapsed="false">
      <c r="A479" s="7" t="str">
        <f aca="false">IF($C479="","","M"&amp;TEXT(ROW()-1,"0000"))</f>
        <v/>
      </c>
      <c r="B479" s="5"/>
      <c r="C479" s="5"/>
      <c r="D479" s="5"/>
      <c r="E479" s="7" t="str">
        <f aca="false">IF($C479="","",IF(OR($C479="Receiving",$C479="Stock Count Adjustment"),$D479,-$D479))</f>
        <v/>
      </c>
      <c r="F479" s="5"/>
      <c r="G479" s="5"/>
      <c r="H479" s="5"/>
      <c r="I479" s="5"/>
      <c r="J479" s="5"/>
    </row>
    <row r="480" customFormat="false" ht="15" hidden="false" customHeight="false" outlineLevel="0" collapsed="false">
      <c r="A480" s="7" t="str">
        <f aca="false">IF($C480="","","M"&amp;TEXT(ROW()-1,"0000"))</f>
        <v/>
      </c>
      <c r="B480" s="5"/>
      <c r="C480" s="5"/>
      <c r="D480" s="5"/>
      <c r="E480" s="7" t="str">
        <f aca="false">IF($C480="","",IF(OR($C480="Receiving",$C480="Stock Count Adjustment"),$D480,-$D480))</f>
        <v/>
      </c>
      <c r="F480" s="5"/>
      <c r="G480" s="5"/>
      <c r="H480" s="5"/>
      <c r="I480" s="5"/>
      <c r="J480" s="5"/>
    </row>
    <row r="481" customFormat="false" ht="15" hidden="false" customHeight="false" outlineLevel="0" collapsed="false">
      <c r="A481" s="7" t="str">
        <f aca="false">IF($C481="","","M"&amp;TEXT(ROW()-1,"0000"))</f>
        <v/>
      </c>
      <c r="B481" s="5"/>
      <c r="C481" s="5"/>
      <c r="D481" s="5"/>
      <c r="E481" s="7" t="str">
        <f aca="false">IF($C481="","",IF(OR($C481="Receiving",$C481="Stock Count Adjustment"),$D481,-$D481))</f>
        <v/>
      </c>
      <c r="F481" s="5"/>
      <c r="G481" s="5"/>
      <c r="H481" s="5"/>
      <c r="I481" s="5"/>
      <c r="J481" s="5"/>
    </row>
    <row r="482" customFormat="false" ht="15" hidden="false" customHeight="false" outlineLevel="0" collapsed="false">
      <c r="A482" s="7" t="str">
        <f aca="false">IF($C482="","","M"&amp;TEXT(ROW()-1,"0000"))</f>
        <v/>
      </c>
      <c r="B482" s="5"/>
      <c r="C482" s="5"/>
      <c r="D482" s="5"/>
      <c r="E482" s="7" t="str">
        <f aca="false">IF($C482="","",IF(OR($C482="Receiving",$C482="Stock Count Adjustment"),$D482,-$D482))</f>
        <v/>
      </c>
      <c r="F482" s="5"/>
      <c r="G482" s="5"/>
      <c r="H482" s="5"/>
      <c r="I482" s="5"/>
      <c r="J482" s="5"/>
    </row>
    <row r="483" customFormat="false" ht="15" hidden="false" customHeight="false" outlineLevel="0" collapsed="false">
      <c r="A483" s="7" t="str">
        <f aca="false">IF($C483="","","M"&amp;TEXT(ROW()-1,"0000"))</f>
        <v/>
      </c>
      <c r="B483" s="5"/>
      <c r="C483" s="5"/>
      <c r="D483" s="5"/>
      <c r="E483" s="7" t="str">
        <f aca="false">IF($C483="","",IF(OR($C483="Receiving",$C483="Stock Count Adjustment"),$D483,-$D483))</f>
        <v/>
      </c>
      <c r="F483" s="5"/>
      <c r="G483" s="5"/>
      <c r="H483" s="5"/>
      <c r="I483" s="5"/>
      <c r="J483" s="5"/>
    </row>
    <row r="484" customFormat="false" ht="15" hidden="false" customHeight="false" outlineLevel="0" collapsed="false">
      <c r="A484" s="7" t="str">
        <f aca="false">IF($C484="","","M"&amp;TEXT(ROW()-1,"0000"))</f>
        <v/>
      </c>
      <c r="B484" s="5"/>
      <c r="C484" s="5"/>
      <c r="D484" s="5"/>
      <c r="E484" s="7" t="str">
        <f aca="false">IF($C484="","",IF(OR($C484="Receiving",$C484="Stock Count Adjustment"),$D484,-$D484))</f>
        <v/>
      </c>
      <c r="F484" s="5"/>
      <c r="G484" s="5"/>
      <c r="H484" s="5"/>
      <c r="I484" s="5"/>
      <c r="J484" s="5"/>
    </row>
    <row r="485" customFormat="false" ht="15" hidden="false" customHeight="false" outlineLevel="0" collapsed="false">
      <c r="A485" s="7" t="str">
        <f aca="false">IF($C485="","","M"&amp;TEXT(ROW()-1,"0000"))</f>
        <v/>
      </c>
      <c r="B485" s="5"/>
      <c r="C485" s="5"/>
      <c r="D485" s="5"/>
      <c r="E485" s="7" t="str">
        <f aca="false">IF($C485="","",IF(OR($C485="Receiving",$C485="Stock Count Adjustment"),$D485,-$D485))</f>
        <v/>
      </c>
      <c r="F485" s="5"/>
      <c r="G485" s="5"/>
      <c r="H485" s="5"/>
      <c r="I485" s="5"/>
      <c r="J485" s="5"/>
    </row>
    <row r="486" customFormat="false" ht="15" hidden="false" customHeight="false" outlineLevel="0" collapsed="false">
      <c r="A486" s="7" t="str">
        <f aca="false">IF($C486="","","M"&amp;TEXT(ROW()-1,"0000"))</f>
        <v/>
      </c>
      <c r="B486" s="5"/>
      <c r="C486" s="5"/>
      <c r="D486" s="5"/>
      <c r="E486" s="7" t="str">
        <f aca="false">IF($C486="","",IF(OR($C486="Receiving",$C486="Stock Count Adjustment"),$D486,-$D486))</f>
        <v/>
      </c>
      <c r="F486" s="5"/>
      <c r="G486" s="5"/>
      <c r="H486" s="5"/>
      <c r="I486" s="5"/>
      <c r="J486" s="5"/>
    </row>
    <row r="487" customFormat="false" ht="15" hidden="false" customHeight="false" outlineLevel="0" collapsed="false">
      <c r="A487" s="7" t="str">
        <f aca="false">IF($C487="","","M"&amp;TEXT(ROW()-1,"0000"))</f>
        <v/>
      </c>
      <c r="B487" s="5"/>
      <c r="C487" s="5"/>
      <c r="D487" s="5"/>
      <c r="E487" s="7" t="str">
        <f aca="false">IF($C487="","",IF(OR($C487="Receiving",$C487="Stock Count Adjustment"),$D487,-$D487))</f>
        <v/>
      </c>
      <c r="F487" s="5"/>
      <c r="G487" s="5"/>
      <c r="H487" s="5"/>
      <c r="I487" s="5"/>
      <c r="J487" s="5"/>
    </row>
    <row r="488" customFormat="false" ht="15" hidden="false" customHeight="false" outlineLevel="0" collapsed="false">
      <c r="A488" s="7" t="str">
        <f aca="false">IF($C488="","","M"&amp;TEXT(ROW()-1,"0000"))</f>
        <v/>
      </c>
      <c r="B488" s="5"/>
      <c r="C488" s="5"/>
      <c r="D488" s="5"/>
      <c r="E488" s="7" t="str">
        <f aca="false">IF($C488="","",IF(OR($C488="Receiving",$C488="Stock Count Adjustment"),$D488,-$D488))</f>
        <v/>
      </c>
      <c r="F488" s="5"/>
      <c r="G488" s="5"/>
      <c r="H488" s="5"/>
      <c r="I488" s="5"/>
      <c r="J488" s="5"/>
    </row>
    <row r="489" customFormat="false" ht="15" hidden="false" customHeight="false" outlineLevel="0" collapsed="false">
      <c r="A489" s="7" t="str">
        <f aca="false">IF($C489="","","M"&amp;TEXT(ROW()-1,"0000"))</f>
        <v/>
      </c>
      <c r="B489" s="5"/>
      <c r="C489" s="5"/>
      <c r="D489" s="5"/>
      <c r="E489" s="7" t="str">
        <f aca="false">IF($C489="","",IF(OR($C489="Receiving",$C489="Stock Count Adjustment"),$D489,-$D489))</f>
        <v/>
      </c>
      <c r="F489" s="5"/>
      <c r="G489" s="5"/>
      <c r="H489" s="5"/>
      <c r="I489" s="5"/>
      <c r="J489" s="5"/>
    </row>
    <row r="490" customFormat="false" ht="15" hidden="false" customHeight="false" outlineLevel="0" collapsed="false">
      <c r="A490" s="7" t="str">
        <f aca="false">IF($C490="","","M"&amp;TEXT(ROW()-1,"0000"))</f>
        <v/>
      </c>
      <c r="B490" s="5"/>
      <c r="C490" s="5"/>
      <c r="D490" s="5"/>
      <c r="E490" s="7" t="str">
        <f aca="false">IF($C490="","",IF(OR($C490="Receiving",$C490="Stock Count Adjustment"),$D490,-$D490))</f>
        <v/>
      </c>
      <c r="F490" s="5"/>
      <c r="G490" s="5"/>
      <c r="H490" s="5"/>
      <c r="I490" s="5"/>
      <c r="J490" s="5"/>
    </row>
    <row r="491" customFormat="false" ht="15" hidden="false" customHeight="false" outlineLevel="0" collapsed="false">
      <c r="A491" s="7" t="str">
        <f aca="false">IF($C491="","","M"&amp;TEXT(ROW()-1,"0000"))</f>
        <v/>
      </c>
      <c r="B491" s="5"/>
      <c r="C491" s="5"/>
      <c r="D491" s="5"/>
      <c r="E491" s="7" t="str">
        <f aca="false">IF($C491="","",IF(OR($C491="Receiving",$C491="Stock Count Adjustment"),$D491,-$D491))</f>
        <v/>
      </c>
      <c r="F491" s="5"/>
      <c r="G491" s="5"/>
      <c r="H491" s="5"/>
      <c r="I491" s="5"/>
      <c r="J491" s="5"/>
    </row>
    <row r="492" customFormat="false" ht="15" hidden="false" customHeight="false" outlineLevel="0" collapsed="false">
      <c r="A492" s="7" t="str">
        <f aca="false">IF($C492="","","M"&amp;TEXT(ROW()-1,"0000"))</f>
        <v/>
      </c>
      <c r="B492" s="5"/>
      <c r="C492" s="5"/>
      <c r="D492" s="5"/>
      <c r="E492" s="7" t="str">
        <f aca="false">IF($C492="","",IF(OR($C492="Receiving",$C492="Stock Count Adjustment"),$D492,-$D492))</f>
        <v/>
      </c>
      <c r="F492" s="5"/>
      <c r="G492" s="5"/>
      <c r="H492" s="5"/>
      <c r="I492" s="5"/>
      <c r="J492" s="5"/>
    </row>
    <row r="493" customFormat="false" ht="15" hidden="false" customHeight="false" outlineLevel="0" collapsed="false">
      <c r="A493" s="7" t="str">
        <f aca="false">IF($C493="","","M"&amp;TEXT(ROW()-1,"0000"))</f>
        <v/>
      </c>
      <c r="B493" s="5"/>
      <c r="C493" s="5"/>
      <c r="D493" s="5"/>
      <c r="E493" s="7" t="str">
        <f aca="false">IF($C493="","",IF(OR($C493="Receiving",$C493="Stock Count Adjustment"),$D493,-$D493))</f>
        <v/>
      </c>
      <c r="F493" s="5"/>
      <c r="G493" s="5"/>
      <c r="H493" s="5"/>
      <c r="I493" s="5"/>
      <c r="J493" s="5"/>
    </row>
    <row r="494" customFormat="false" ht="15" hidden="false" customHeight="false" outlineLevel="0" collapsed="false">
      <c r="A494" s="7" t="str">
        <f aca="false">IF($C494="","","M"&amp;TEXT(ROW()-1,"0000"))</f>
        <v/>
      </c>
      <c r="B494" s="5"/>
      <c r="C494" s="5"/>
      <c r="D494" s="5"/>
      <c r="E494" s="7" t="str">
        <f aca="false">IF($C494="","",IF(OR($C494="Receiving",$C494="Stock Count Adjustment"),$D494,-$D494))</f>
        <v/>
      </c>
      <c r="F494" s="5"/>
      <c r="G494" s="5"/>
      <c r="H494" s="5"/>
      <c r="I494" s="5"/>
      <c r="J494" s="5"/>
    </row>
    <row r="495" customFormat="false" ht="15" hidden="false" customHeight="false" outlineLevel="0" collapsed="false">
      <c r="A495" s="7" t="str">
        <f aca="false">IF($C495="","","M"&amp;TEXT(ROW()-1,"0000"))</f>
        <v/>
      </c>
      <c r="B495" s="5"/>
      <c r="C495" s="5"/>
      <c r="D495" s="5"/>
      <c r="E495" s="7" t="str">
        <f aca="false">IF($C495="","",IF(OR($C495="Receiving",$C495="Stock Count Adjustment"),$D495,-$D495))</f>
        <v/>
      </c>
      <c r="F495" s="5"/>
      <c r="G495" s="5"/>
      <c r="H495" s="5"/>
      <c r="I495" s="5"/>
      <c r="J495" s="5"/>
    </row>
    <row r="496" customFormat="false" ht="15" hidden="false" customHeight="false" outlineLevel="0" collapsed="false">
      <c r="A496" s="7" t="str">
        <f aca="false">IF($C496="","","M"&amp;TEXT(ROW()-1,"0000"))</f>
        <v/>
      </c>
      <c r="B496" s="5"/>
      <c r="C496" s="5"/>
      <c r="D496" s="5"/>
      <c r="E496" s="7" t="str">
        <f aca="false">IF($C496="","",IF(OR($C496="Receiving",$C496="Stock Count Adjustment"),$D496,-$D496))</f>
        <v/>
      </c>
      <c r="F496" s="5"/>
      <c r="G496" s="5"/>
      <c r="H496" s="5"/>
      <c r="I496" s="5"/>
      <c r="J496" s="5"/>
    </row>
    <row r="497" customFormat="false" ht="15" hidden="false" customHeight="false" outlineLevel="0" collapsed="false">
      <c r="A497" s="7" t="str">
        <f aca="false">IF($C497="","","M"&amp;TEXT(ROW()-1,"0000"))</f>
        <v/>
      </c>
      <c r="B497" s="5"/>
      <c r="C497" s="5"/>
      <c r="D497" s="5"/>
      <c r="E497" s="7" t="str">
        <f aca="false">IF($C497="","",IF(OR($C497="Receiving",$C497="Stock Count Adjustment"),$D497,-$D497))</f>
        <v/>
      </c>
      <c r="F497" s="5"/>
      <c r="G497" s="5"/>
      <c r="H497" s="5"/>
      <c r="I497" s="5"/>
      <c r="J497" s="5"/>
    </row>
    <row r="498" customFormat="false" ht="15" hidden="false" customHeight="false" outlineLevel="0" collapsed="false">
      <c r="A498" s="7" t="str">
        <f aca="false">IF($C498="","","M"&amp;TEXT(ROW()-1,"0000"))</f>
        <v/>
      </c>
      <c r="B498" s="5"/>
      <c r="C498" s="5"/>
      <c r="D498" s="5"/>
      <c r="E498" s="7" t="str">
        <f aca="false">IF($C498="","",IF(OR($C498="Receiving",$C498="Stock Count Adjustment"),$D498,-$D498))</f>
        <v/>
      </c>
      <c r="F498" s="5"/>
      <c r="G498" s="5"/>
      <c r="H498" s="5"/>
      <c r="I498" s="5"/>
      <c r="J498" s="5"/>
    </row>
    <row r="499" customFormat="false" ht="15" hidden="false" customHeight="false" outlineLevel="0" collapsed="false">
      <c r="A499" s="7" t="str">
        <f aca="false">IF($C499="","","M"&amp;TEXT(ROW()-1,"0000"))</f>
        <v/>
      </c>
      <c r="B499" s="5"/>
      <c r="C499" s="5"/>
      <c r="D499" s="5"/>
      <c r="E499" s="7" t="str">
        <f aca="false">IF($C499="","",IF(OR($C499="Receiving",$C499="Stock Count Adjustment"),$D499,-$D499))</f>
        <v/>
      </c>
      <c r="F499" s="5"/>
      <c r="G499" s="5"/>
      <c r="H499" s="5"/>
      <c r="I499" s="5"/>
      <c r="J499" s="5"/>
    </row>
    <row r="500" customFormat="false" ht="15" hidden="false" customHeight="false" outlineLevel="0" collapsed="false">
      <c r="A500" s="7" t="str">
        <f aca="false">IF($C500="","","M"&amp;TEXT(ROW()-1,"0000"))</f>
        <v/>
      </c>
      <c r="B500" s="5"/>
      <c r="C500" s="5"/>
      <c r="D500" s="5"/>
      <c r="E500" s="7" t="str">
        <f aca="false">IF($C500="","",IF(OR($C500="Receiving",$C500="Stock Count Adjustment"),$D500,-$D500))</f>
        <v/>
      </c>
      <c r="F500" s="5"/>
      <c r="G500" s="5"/>
      <c r="H500" s="5"/>
      <c r="I500" s="5"/>
      <c r="J500" s="5"/>
    </row>
    <row r="501" customFormat="false" ht="15" hidden="false" customHeight="false" outlineLevel="0" collapsed="false">
      <c r="A501" s="7" t="str">
        <f aca="false">IF($C501="","","M"&amp;TEXT(ROW()-1,"0000"))</f>
        <v/>
      </c>
      <c r="B501" s="5"/>
      <c r="C501" s="5"/>
      <c r="D501" s="5"/>
      <c r="E501" s="7" t="str">
        <f aca="false">IF($C501="","",IF(OR($C501="Receiving",$C501="Stock Count Adjustment"),$D501,-$D501))</f>
        <v/>
      </c>
      <c r="F501" s="5"/>
      <c r="G501" s="5"/>
      <c r="H501" s="5"/>
      <c r="I501" s="5"/>
      <c r="J501" s="5"/>
    </row>
  </sheetData>
  <dataValidations count="5">
    <dataValidation allowBlank="true" errorStyle="stop" operator="between" showDropDown="false" showErrorMessage="false" showInputMessage="false" sqref="C2:C501" type="list">
      <formula1>"Receiving,Customer Stock-Out,Internal Transfer,Stock Count Adjustment"</formula1>
      <formula2>0</formula2>
    </dataValidation>
    <dataValidation allowBlank="true" errorStyle="stop" operator="between" showDropDown="false" showErrorMessage="false" showInputMessage="false" sqref="F2:F501" type="list">
      <formula1>Products!$A$2:$A$121</formula1>
      <formula2>0</formula2>
    </dataValidation>
    <dataValidation allowBlank="true" errorStyle="stop" operator="between" showDropDown="false" showErrorMessage="false" showInputMessage="false" sqref="G2:G501" type="list">
      <formula1>Customers!$A$2:$A$16</formula1>
      <formula2>0</formula2>
    </dataValidation>
    <dataValidation allowBlank="true" errorStyle="stop" operator="between" showDropDown="false" showErrorMessage="false" showInputMessage="false" sqref="H2:H501" type="list">
      <formula1>Suppliers!$A$2:$A$16</formula1>
      <formula2>0</formula2>
    </dataValidation>
    <dataValidation allowBlank="true" errorStyle="stop" operator="between" showDropDown="false" showErrorMessage="false" showInputMessage="false" sqref="I2:I501" type="list">
      <formula1>Staff!$C$2:$C$11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4" min="3" style="0" width="20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4" t="s">
        <v>39</v>
      </c>
      <c r="B1" s="4" t="s">
        <v>40</v>
      </c>
      <c r="C1" s="4" t="s">
        <v>93</v>
      </c>
      <c r="D1" s="4" t="s">
        <v>46</v>
      </c>
      <c r="E1" s="4" t="s">
        <v>94</v>
      </c>
    </row>
    <row r="2" customFormat="false" ht="15" hidden="false" customHeight="false" outlineLevel="0" collapsed="false">
      <c r="A2" s="7" t="str">
        <f aca="false">Products!A2</f>
        <v>P001</v>
      </c>
      <c r="B2" s="7" t="str">
        <f aca="false">IF($A2="","",Products!B2)</f>
        <v>Example — Cola 12oz Can</v>
      </c>
      <c r="C2" s="7" t="n">
        <f aca="false">IF($A2="","",SUMIFS(Movements!$E:$E,Movements!$F:$F,$A2))</f>
        <v>23</v>
      </c>
      <c r="D2" s="7" t="n">
        <f aca="false">IF($A2="","",Products!H2)</f>
        <v>10</v>
      </c>
      <c r="E2" s="7" t="str">
        <f aca="false">IF($A2="","",IF($C2&lt;$D2,"REORDER","OK"))</f>
        <v>OK</v>
      </c>
    </row>
    <row r="3" customFormat="false" ht="15" hidden="false" customHeight="false" outlineLevel="0" collapsed="false">
      <c r="A3" s="7" t="n">
        <f aca="false">Products!A3</f>
        <v>0</v>
      </c>
      <c r="B3" s="7" t="str">
        <f aca="false">IF($A3="","",Products!B3)</f>
        <v/>
      </c>
      <c r="C3" s="7" t="str">
        <f aca="false">IF($A3="","",SUMIFS(Movements!$E:$E,Movements!$F:$F,$A3))</f>
        <v/>
      </c>
      <c r="D3" s="7" t="str">
        <f aca="false">IF($A3="","",Products!H3)</f>
        <v/>
      </c>
      <c r="E3" s="7" t="str">
        <f aca="false">IF($A3="","",IF($C3&lt;$D3,"REORDER","OK"))</f>
        <v/>
      </c>
    </row>
    <row r="4" customFormat="false" ht="15" hidden="false" customHeight="false" outlineLevel="0" collapsed="false">
      <c r="A4" s="7" t="n">
        <f aca="false">Products!A4</f>
        <v>0</v>
      </c>
      <c r="B4" s="7" t="str">
        <f aca="false">IF($A4="","",Products!B4)</f>
        <v/>
      </c>
      <c r="C4" s="7" t="str">
        <f aca="false">IF($A4="","",SUMIFS(Movements!$E:$E,Movements!$F:$F,$A4))</f>
        <v/>
      </c>
      <c r="D4" s="7" t="str">
        <f aca="false">IF($A4="","",Products!H4)</f>
        <v/>
      </c>
      <c r="E4" s="7" t="str">
        <f aca="false">IF($A4="","",IF($C4&lt;$D4,"REORDER","OK"))</f>
        <v/>
      </c>
    </row>
    <row r="5" customFormat="false" ht="15" hidden="false" customHeight="false" outlineLevel="0" collapsed="false">
      <c r="A5" s="7" t="n">
        <f aca="false">Products!A5</f>
        <v>0</v>
      </c>
      <c r="B5" s="7" t="str">
        <f aca="false">IF($A5="","",Products!B5)</f>
        <v/>
      </c>
      <c r="C5" s="7" t="str">
        <f aca="false">IF($A5="","",SUMIFS(Movements!$E:$E,Movements!$F:$F,$A5))</f>
        <v/>
      </c>
      <c r="D5" s="7" t="str">
        <f aca="false">IF($A5="","",Products!H5)</f>
        <v/>
      </c>
      <c r="E5" s="7" t="str">
        <f aca="false">IF($A5="","",IF($C5&lt;$D5,"REORDER","OK"))</f>
        <v/>
      </c>
    </row>
    <row r="6" customFormat="false" ht="15" hidden="false" customHeight="false" outlineLevel="0" collapsed="false">
      <c r="A6" s="7" t="n">
        <f aca="false">Products!A6</f>
        <v>0</v>
      </c>
      <c r="B6" s="7" t="str">
        <f aca="false">IF($A6="","",Products!B6)</f>
        <v/>
      </c>
      <c r="C6" s="7" t="str">
        <f aca="false">IF($A6="","",SUMIFS(Movements!$E:$E,Movements!$F:$F,$A6))</f>
        <v/>
      </c>
      <c r="D6" s="7" t="str">
        <f aca="false">IF($A6="","",Products!H6)</f>
        <v/>
      </c>
      <c r="E6" s="7" t="str">
        <f aca="false">IF($A6="","",IF($C6&lt;$D6,"REORDER","OK"))</f>
        <v/>
      </c>
    </row>
    <row r="7" customFormat="false" ht="15" hidden="false" customHeight="false" outlineLevel="0" collapsed="false">
      <c r="A7" s="7" t="n">
        <f aca="false">Products!A7</f>
        <v>0</v>
      </c>
      <c r="B7" s="7" t="str">
        <f aca="false">IF($A7="","",Products!B7)</f>
        <v/>
      </c>
      <c r="C7" s="7" t="str">
        <f aca="false">IF($A7="","",SUMIFS(Movements!$E:$E,Movements!$F:$F,$A7))</f>
        <v/>
      </c>
      <c r="D7" s="7" t="str">
        <f aca="false">IF($A7="","",Products!H7)</f>
        <v/>
      </c>
      <c r="E7" s="7" t="str">
        <f aca="false">IF($A7="","",IF($C7&lt;$D7,"REORDER","OK"))</f>
        <v/>
      </c>
    </row>
    <row r="8" customFormat="false" ht="15" hidden="false" customHeight="false" outlineLevel="0" collapsed="false">
      <c r="A8" s="7" t="n">
        <f aca="false">Products!A8</f>
        <v>0</v>
      </c>
      <c r="B8" s="7" t="str">
        <f aca="false">IF($A8="","",Products!B8)</f>
        <v/>
      </c>
      <c r="C8" s="7" t="str">
        <f aca="false">IF($A8="","",SUMIFS(Movements!$E:$E,Movements!$F:$F,$A8))</f>
        <v/>
      </c>
      <c r="D8" s="7" t="str">
        <f aca="false">IF($A8="","",Products!H8)</f>
        <v/>
      </c>
      <c r="E8" s="7" t="str">
        <f aca="false">IF($A8="","",IF($C8&lt;$D8,"REORDER","OK"))</f>
        <v/>
      </c>
    </row>
    <row r="9" customFormat="false" ht="15" hidden="false" customHeight="false" outlineLevel="0" collapsed="false">
      <c r="A9" s="7" t="n">
        <f aca="false">Products!A9</f>
        <v>0</v>
      </c>
      <c r="B9" s="7" t="str">
        <f aca="false">IF($A9="","",Products!B9)</f>
        <v/>
      </c>
      <c r="C9" s="7" t="str">
        <f aca="false">IF($A9="","",SUMIFS(Movements!$E:$E,Movements!$F:$F,$A9))</f>
        <v/>
      </c>
      <c r="D9" s="7" t="str">
        <f aca="false">IF($A9="","",Products!H9)</f>
        <v/>
      </c>
      <c r="E9" s="7" t="str">
        <f aca="false">IF($A9="","",IF($C9&lt;$D9,"REORDER","OK"))</f>
        <v/>
      </c>
    </row>
    <row r="10" customFormat="false" ht="15" hidden="false" customHeight="false" outlineLevel="0" collapsed="false">
      <c r="A10" s="7" t="n">
        <f aca="false">Products!A10</f>
        <v>0</v>
      </c>
      <c r="B10" s="7" t="str">
        <f aca="false">IF($A10="","",Products!B10)</f>
        <v/>
      </c>
      <c r="C10" s="7" t="str">
        <f aca="false">IF($A10="","",SUMIFS(Movements!$E:$E,Movements!$F:$F,$A10))</f>
        <v/>
      </c>
      <c r="D10" s="7" t="str">
        <f aca="false">IF($A10="","",Products!H10)</f>
        <v/>
      </c>
      <c r="E10" s="7" t="str">
        <f aca="false">IF($A10="","",IF($C10&lt;$D10,"REORDER","OK"))</f>
        <v/>
      </c>
    </row>
    <row r="11" customFormat="false" ht="15" hidden="false" customHeight="false" outlineLevel="0" collapsed="false">
      <c r="A11" s="7" t="n">
        <f aca="false">Products!A11</f>
        <v>0</v>
      </c>
      <c r="B11" s="7" t="str">
        <f aca="false">IF($A11="","",Products!B11)</f>
        <v/>
      </c>
      <c r="C11" s="7" t="str">
        <f aca="false">IF($A11="","",SUMIFS(Movements!$E:$E,Movements!$F:$F,$A11))</f>
        <v/>
      </c>
      <c r="D11" s="7" t="str">
        <f aca="false">IF($A11="","",Products!H11)</f>
        <v/>
      </c>
      <c r="E11" s="7" t="str">
        <f aca="false">IF($A11="","",IF($C11&lt;$D11,"REORDER","OK"))</f>
        <v/>
      </c>
    </row>
    <row r="12" customFormat="false" ht="15" hidden="false" customHeight="false" outlineLevel="0" collapsed="false">
      <c r="A12" s="7" t="n">
        <f aca="false">Products!A12</f>
        <v>0</v>
      </c>
      <c r="B12" s="7" t="str">
        <f aca="false">IF($A12="","",Products!B12)</f>
        <v/>
      </c>
      <c r="C12" s="7" t="str">
        <f aca="false">IF($A12="","",SUMIFS(Movements!$E:$E,Movements!$F:$F,$A12))</f>
        <v/>
      </c>
      <c r="D12" s="7" t="str">
        <f aca="false">IF($A12="","",Products!H12)</f>
        <v/>
      </c>
      <c r="E12" s="7" t="str">
        <f aca="false">IF($A12="","",IF($C12&lt;$D12,"REORDER","OK"))</f>
        <v/>
      </c>
    </row>
    <row r="13" customFormat="false" ht="15" hidden="false" customHeight="false" outlineLevel="0" collapsed="false">
      <c r="A13" s="7" t="n">
        <f aca="false">Products!A13</f>
        <v>0</v>
      </c>
      <c r="B13" s="7" t="str">
        <f aca="false">IF($A13="","",Products!B13)</f>
        <v/>
      </c>
      <c r="C13" s="7" t="str">
        <f aca="false">IF($A13="","",SUMIFS(Movements!$E:$E,Movements!$F:$F,$A13))</f>
        <v/>
      </c>
      <c r="D13" s="7" t="str">
        <f aca="false">IF($A13="","",Products!H13)</f>
        <v/>
      </c>
      <c r="E13" s="7" t="str">
        <f aca="false">IF($A13="","",IF($C13&lt;$D13,"REORDER","OK"))</f>
        <v/>
      </c>
    </row>
    <row r="14" customFormat="false" ht="15" hidden="false" customHeight="false" outlineLevel="0" collapsed="false">
      <c r="A14" s="7" t="n">
        <f aca="false">Products!A14</f>
        <v>0</v>
      </c>
      <c r="B14" s="7" t="str">
        <f aca="false">IF($A14="","",Products!B14)</f>
        <v/>
      </c>
      <c r="C14" s="7" t="str">
        <f aca="false">IF($A14="","",SUMIFS(Movements!$E:$E,Movements!$F:$F,$A14))</f>
        <v/>
      </c>
      <c r="D14" s="7" t="str">
        <f aca="false">IF($A14="","",Products!H14)</f>
        <v/>
      </c>
      <c r="E14" s="7" t="str">
        <f aca="false">IF($A14="","",IF($C14&lt;$D14,"REORDER","OK"))</f>
        <v/>
      </c>
    </row>
    <row r="15" customFormat="false" ht="15" hidden="false" customHeight="false" outlineLevel="0" collapsed="false">
      <c r="A15" s="7" t="n">
        <f aca="false">Products!A15</f>
        <v>0</v>
      </c>
      <c r="B15" s="7" t="str">
        <f aca="false">IF($A15="","",Products!B15)</f>
        <v/>
      </c>
      <c r="C15" s="7" t="str">
        <f aca="false">IF($A15="","",SUMIFS(Movements!$E:$E,Movements!$F:$F,$A15))</f>
        <v/>
      </c>
      <c r="D15" s="7" t="str">
        <f aca="false">IF($A15="","",Products!H15)</f>
        <v/>
      </c>
      <c r="E15" s="7" t="str">
        <f aca="false">IF($A15="","",IF($C15&lt;$D15,"REORDER","OK"))</f>
        <v/>
      </c>
    </row>
    <row r="16" customFormat="false" ht="15" hidden="false" customHeight="false" outlineLevel="0" collapsed="false">
      <c r="A16" s="7" t="n">
        <f aca="false">Products!A16</f>
        <v>0</v>
      </c>
      <c r="B16" s="7" t="str">
        <f aca="false">IF($A16="","",Products!B16)</f>
        <v/>
      </c>
      <c r="C16" s="7" t="str">
        <f aca="false">IF($A16="","",SUMIFS(Movements!$E:$E,Movements!$F:$F,$A16))</f>
        <v/>
      </c>
      <c r="D16" s="7" t="str">
        <f aca="false">IF($A16="","",Products!H16)</f>
        <v/>
      </c>
      <c r="E16" s="7" t="str">
        <f aca="false">IF($A16="","",IF($C16&lt;$D16,"REORDER","OK"))</f>
        <v/>
      </c>
    </row>
    <row r="17" customFormat="false" ht="15" hidden="false" customHeight="false" outlineLevel="0" collapsed="false">
      <c r="A17" s="7" t="n">
        <f aca="false">Products!A17</f>
        <v>0</v>
      </c>
      <c r="B17" s="7" t="str">
        <f aca="false">IF($A17="","",Products!B17)</f>
        <v/>
      </c>
      <c r="C17" s="7" t="str">
        <f aca="false">IF($A17="","",SUMIFS(Movements!$E:$E,Movements!$F:$F,$A17))</f>
        <v/>
      </c>
      <c r="D17" s="7" t="str">
        <f aca="false">IF($A17="","",Products!H17)</f>
        <v/>
      </c>
      <c r="E17" s="7" t="str">
        <f aca="false">IF($A17="","",IF($C17&lt;$D17,"REORDER","OK"))</f>
        <v/>
      </c>
    </row>
    <row r="18" customFormat="false" ht="15" hidden="false" customHeight="false" outlineLevel="0" collapsed="false">
      <c r="A18" s="7" t="n">
        <f aca="false">Products!A18</f>
        <v>0</v>
      </c>
      <c r="B18" s="7" t="str">
        <f aca="false">IF($A18="","",Products!B18)</f>
        <v/>
      </c>
      <c r="C18" s="7" t="str">
        <f aca="false">IF($A18="","",SUMIFS(Movements!$E:$E,Movements!$F:$F,$A18))</f>
        <v/>
      </c>
      <c r="D18" s="7" t="str">
        <f aca="false">IF($A18="","",Products!H18)</f>
        <v/>
      </c>
      <c r="E18" s="7" t="str">
        <f aca="false">IF($A18="","",IF($C18&lt;$D18,"REORDER","OK"))</f>
        <v/>
      </c>
    </row>
    <row r="19" customFormat="false" ht="15" hidden="false" customHeight="false" outlineLevel="0" collapsed="false">
      <c r="A19" s="7" t="n">
        <f aca="false">Products!A19</f>
        <v>0</v>
      </c>
      <c r="B19" s="7" t="str">
        <f aca="false">IF($A19="","",Products!B19)</f>
        <v/>
      </c>
      <c r="C19" s="7" t="str">
        <f aca="false">IF($A19="","",SUMIFS(Movements!$E:$E,Movements!$F:$F,$A19))</f>
        <v/>
      </c>
      <c r="D19" s="7" t="str">
        <f aca="false">IF($A19="","",Products!H19)</f>
        <v/>
      </c>
      <c r="E19" s="7" t="str">
        <f aca="false">IF($A19="","",IF($C19&lt;$D19,"REORDER","OK"))</f>
        <v/>
      </c>
    </row>
    <row r="20" customFormat="false" ht="15" hidden="false" customHeight="false" outlineLevel="0" collapsed="false">
      <c r="A20" s="7" t="n">
        <f aca="false">Products!A20</f>
        <v>0</v>
      </c>
      <c r="B20" s="7" t="str">
        <f aca="false">IF($A20="","",Products!B20)</f>
        <v/>
      </c>
      <c r="C20" s="7" t="str">
        <f aca="false">IF($A20="","",SUMIFS(Movements!$E:$E,Movements!$F:$F,$A20))</f>
        <v/>
      </c>
      <c r="D20" s="7" t="str">
        <f aca="false">IF($A20="","",Products!H20)</f>
        <v/>
      </c>
      <c r="E20" s="7" t="str">
        <f aca="false">IF($A20="","",IF($C20&lt;$D20,"REORDER","OK"))</f>
        <v/>
      </c>
    </row>
    <row r="21" customFormat="false" ht="15" hidden="false" customHeight="false" outlineLevel="0" collapsed="false">
      <c r="A21" s="7" t="n">
        <f aca="false">Products!A21</f>
        <v>0</v>
      </c>
      <c r="B21" s="7" t="str">
        <f aca="false">IF($A21="","",Products!B21)</f>
        <v/>
      </c>
      <c r="C21" s="7" t="str">
        <f aca="false">IF($A21="","",SUMIFS(Movements!$E:$E,Movements!$F:$F,$A21))</f>
        <v/>
      </c>
      <c r="D21" s="7" t="str">
        <f aca="false">IF($A21="","",Products!H21)</f>
        <v/>
      </c>
      <c r="E21" s="7" t="str">
        <f aca="false">IF($A21="","",IF($C21&lt;$D21,"REORDER","OK"))</f>
        <v/>
      </c>
    </row>
    <row r="22" customFormat="false" ht="15" hidden="false" customHeight="false" outlineLevel="0" collapsed="false">
      <c r="A22" s="7" t="n">
        <f aca="false">Products!A22</f>
        <v>0</v>
      </c>
      <c r="B22" s="7" t="str">
        <f aca="false">IF($A22="","",Products!B22)</f>
        <v/>
      </c>
      <c r="C22" s="7" t="str">
        <f aca="false">IF($A22="","",SUMIFS(Movements!$E:$E,Movements!$F:$F,$A22))</f>
        <v/>
      </c>
      <c r="D22" s="7" t="str">
        <f aca="false">IF($A22="","",Products!H22)</f>
        <v/>
      </c>
      <c r="E22" s="7" t="str">
        <f aca="false">IF($A22="","",IF($C22&lt;$D22,"REORDER","OK"))</f>
        <v/>
      </c>
    </row>
    <row r="23" customFormat="false" ht="15" hidden="false" customHeight="false" outlineLevel="0" collapsed="false">
      <c r="A23" s="7" t="n">
        <f aca="false">Products!A23</f>
        <v>0</v>
      </c>
      <c r="B23" s="7" t="str">
        <f aca="false">IF($A23="","",Products!B23)</f>
        <v/>
      </c>
      <c r="C23" s="7" t="str">
        <f aca="false">IF($A23="","",SUMIFS(Movements!$E:$E,Movements!$F:$F,$A23))</f>
        <v/>
      </c>
      <c r="D23" s="7" t="str">
        <f aca="false">IF($A23="","",Products!H23)</f>
        <v/>
      </c>
      <c r="E23" s="7" t="str">
        <f aca="false">IF($A23="","",IF($C23&lt;$D23,"REORDER","OK"))</f>
        <v/>
      </c>
    </row>
    <row r="24" customFormat="false" ht="15" hidden="false" customHeight="false" outlineLevel="0" collapsed="false">
      <c r="A24" s="7" t="n">
        <f aca="false">Products!A24</f>
        <v>0</v>
      </c>
      <c r="B24" s="7" t="str">
        <f aca="false">IF($A24="","",Products!B24)</f>
        <v/>
      </c>
      <c r="C24" s="7" t="str">
        <f aca="false">IF($A24="","",SUMIFS(Movements!$E:$E,Movements!$F:$F,$A24))</f>
        <v/>
      </c>
      <c r="D24" s="7" t="str">
        <f aca="false">IF($A24="","",Products!H24)</f>
        <v/>
      </c>
      <c r="E24" s="7" t="str">
        <f aca="false">IF($A24="","",IF($C24&lt;$D24,"REORDER","OK"))</f>
        <v/>
      </c>
    </row>
    <row r="25" customFormat="false" ht="15" hidden="false" customHeight="false" outlineLevel="0" collapsed="false">
      <c r="A25" s="7" t="n">
        <f aca="false">Products!A25</f>
        <v>0</v>
      </c>
      <c r="B25" s="7" t="str">
        <f aca="false">IF($A25="","",Products!B25)</f>
        <v/>
      </c>
      <c r="C25" s="7" t="str">
        <f aca="false">IF($A25="","",SUMIFS(Movements!$E:$E,Movements!$F:$F,$A25))</f>
        <v/>
      </c>
      <c r="D25" s="7" t="str">
        <f aca="false">IF($A25="","",Products!H25)</f>
        <v/>
      </c>
      <c r="E25" s="7" t="str">
        <f aca="false">IF($A25="","",IF($C25&lt;$D25,"REORDER","OK"))</f>
        <v/>
      </c>
    </row>
    <row r="26" customFormat="false" ht="15" hidden="false" customHeight="false" outlineLevel="0" collapsed="false">
      <c r="A26" s="7" t="n">
        <f aca="false">Products!A26</f>
        <v>0</v>
      </c>
      <c r="B26" s="7" t="str">
        <f aca="false">IF($A26="","",Products!B26)</f>
        <v/>
      </c>
      <c r="C26" s="7" t="str">
        <f aca="false">IF($A26="","",SUMIFS(Movements!$E:$E,Movements!$F:$F,$A26))</f>
        <v/>
      </c>
      <c r="D26" s="7" t="str">
        <f aca="false">IF($A26="","",Products!H26)</f>
        <v/>
      </c>
      <c r="E26" s="7" t="str">
        <f aca="false">IF($A26="","",IF($C26&lt;$D26,"REORDER","OK"))</f>
        <v/>
      </c>
    </row>
    <row r="27" customFormat="false" ht="15" hidden="false" customHeight="false" outlineLevel="0" collapsed="false">
      <c r="A27" s="7" t="n">
        <f aca="false">Products!A27</f>
        <v>0</v>
      </c>
      <c r="B27" s="7" t="str">
        <f aca="false">IF($A27="","",Products!B27)</f>
        <v/>
      </c>
      <c r="C27" s="7" t="str">
        <f aca="false">IF($A27="","",SUMIFS(Movements!$E:$E,Movements!$F:$F,$A27))</f>
        <v/>
      </c>
      <c r="D27" s="7" t="str">
        <f aca="false">IF($A27="","",Products!H27)</f>
        <v/>
      </c>
      <c r="E27" s="7" t="str">
        <f aca="false">IF($A27="","",IF($C27&lt;$D27,"REORDER","OK"))</f>
        <v/>
      </c>
    </row>
    <row r="28" customFormat="false" ht="15" hidden="false" customHeight="false" outlineLevel="0" collapsed="false">
      <c r="A28" s="7" t="n">
        <f aca="false">Products!A28</f>
        <v>0</v>
      </c>
      <c r="B28" s="7" t="str">
        <f aca="false">IF($A28="","",Products!B28)</f>
        <v/>
      </c>
      <c r="C28" s="7" t="str">
        <f aca="false">IF($A28="","",SUMIFS(Movements!$E:$E,Movements!$F:$F,$A28))</f>
        <v/>
      </c>
      <c r="D28" s="7" t="str">
        <f aca="false">IF($A28="","",Products!H28)</f>
        <v/>
      </c>
      <c r="E28" s="7" t="str">
        <f aca="false">IF($A28="","",IF($C28&lt;$D28,"REORDER","OK"))</f>
        <v/>
      </c>
    </row>
    <row r="29" customFormat="false" ht="15" hidden="false" customHeight="false" outlineLevel="0" collapsed="false">
      <c r="A29" s="7" t="n">
        <f aca="false">Products!A29</f>
        <v>0</v>
      </c>
      <c r="B29" s="7" t="str">
        <f aca="false">IF($A29="","",Products!B29)</f>
        <v/>
      </c>
      <c r="C29" s="7" t="str">
        <f aca="false">IF($A29="","",SUMIFS(Movements!$E:$E,Movements!$F:$F,$A29))</f>
        <v/>
      </c>
      <c r="D29" s="7" t="str">
        <f aca="false">IF($A29="","",Products!H29)</f>
        <v/>
      </c>
      <c r="E29" s="7" t="str">
        <f aca="false">IF($A29="","",IF($C29&lt;$D29,"REORDER","OK"))</f>
        <v/>
      </c>
    </row>
    <row r="30" customFormat="false" ht="15" hidden="false" customHeight="false" outlineLevel="0" collapsed="false">
      <c r="A30" s="7" t="n">
        <f aca="false">Products!A30</f>
        <v>0</v>
      </c>
      <c r="B30" s="7" t="str">
        <f aca="false">IF($A30="","",Products!B30)</f>
        <v/>
      </c>
      <c r="C30" s="7" t="str">
        <f aca="false">IF($A30="","",SUMIFS(Movements!$E:$E,Movements!$F:$F,$A30))</f>
        <v/>
      </c>
      <c r="D30" s="7" t="str">
        <f aca="false">IF($A30="","",Products!H30)</f>
        <v/>
      </c>
      <c r="E30" s="7" t="str">
        <f aca="false">IF($A30="","",IF($C30&lt;$D30,"REORDER","OK"))</f>
        <v/>
      </c>
    </row>
    <row r="31" customFormat="false" ht="15" hidden="false" customHeight="false" outlineLevel="0" collapsed="false">
      <c r="A31" s="7" t="n">
        <f aca="false">Products!A31</f>
        <v>0</v>
      </c>
      <c r="B31" s="7" t="str">
        <f aca="false">IF($A31="","",Products!B31)</f>
        <v/>
      </c>
      <c r="C31" s="7" t="str">
        <f aca="false">IF($A31="","",SUMIFS(Movements!$E:$E,Movements!$F:$F,$A31))</f>
        <v/>
      </c>
      <c r="D31" s="7" t="str">
        <f aca="false">IF($A31="","",Products!H31)</f>
        <v/>
      </c>
      <c r="E31" s="7" t="str">
        <f aca="false">IF($A31="","",IF($C31&lt;$D31,"REORDER","OK"))</f>
        <v/>
      </c>
    </row>
    <row r="32" customFormat="false" ht="15" hidden="false" customHeight="false" outlineLevel="0" collapsed="false">
      <c r="A32" s="7" t="n">
        <f aca="false">Products!A32</f>
        <v>0</v>
      </c>
      <c r="B32" s="7" t="str">
        <f aca="false">IF($A32="","",Products!B32)</f>
        <v/>
      </c>
      <c r="C32" s="7" t="str">
        <f aca="false">IF($A32="","",SUMIFS(Movements!$E:$E,Movements!$F:$F,$A32))</f>
        <v/>
      </c>
      <c r="D32" s="7" t="str">
        <f aca="false">IF($A32="","",Products!H32)</f>
        <v/>
      </c>
      <c r="E32" s="7" t="str">
        <f aca="false">IF($A32="","",IF($C32&lt;$D32,"REORDER","OK"))</f>
        <v/>
      </c>
    </row>
    <row r="33" customFormat="false" ht="15" hidden="false" customHeight="false" outlineLevel="0" collapsed="false">
      <c r="A33" s="7" t="n">
        <f aca="false">Products!A33</f>
        <v>0</v>
      </c>
      <c r="B33" s="7" t="str">
        <f aca="false">IF($A33="","",Products!B33)</f>
        <v/>
      </c>
      <c r="C33" s="7" t="str">
        <f aca="false">IF($A33="","",SUMIFS(Movements!$E:$E,Movements!$F:$F,$A33))</f>
        <v/>
      </c>
      <c r="D33" s="7" t="str">
        <f aca="false">IF($A33="","",Products!H33)</f>
        <v/>
      </c>
      <c r="E33" s="7" t="str">
        <f aca="false">IF($A33="","",IF($C33&lt;$D33,"REORDER","OK"))</f>
        <v/>
      </c>
    </row>
    <row r="34" customFormat="false" ht="15" hidden="false" customHeight="false" outlineLevel="0" collapsed="false">
      <c r="A34" s="7" t="n">
        <f aca="false">Products!A34</f>
        <v>0</v>
      </c>
      <c r="B34" s="7" t="str">
        <f aca="false">IF($A34="","",Products!B34)</f>
        <v/>
      </c>
      <c r="C34" s="7" t="str">
        <f aca="false">IF($A34="","",SUMIFS(Movements!$E:$E,Movements!$F:$F,$A34))</f>
        <v/>
      </c>
      <c r="D34" s="7" t="str">
        <f aca="false">IF($A34="","",Products!H34)</f>
        <v/>
      </c>
      <c r="E34" s="7" t="str">
        <f aca="false">IF($A34="","",IF($C34&lt;$D34,"REORDER","OK"))</f>
        <v/>
      </c>
    </row>
    <row r="35" customFormat="false" ht="15" hidden="false" customHeight="false" outlineLevel="0" collapsed="false">
      <c r="A35" s="7" t="n">
        <f aca="false">Products!A35</f>
        <v>0</v>
      </c>
      <c r="B35" s="7" t="str">
        <f aca="false">IF($A35="","",Products!B35)</f>
        <v/>
      </c>
      <c r="C35" s="7" t="str">
        <f aca="false">IF($A35="","",SUMIFS(Movements!$E:$E,Movements!$F:$F,$A35))</f>
        <v/>
      </c>
      <c r="D35" s="7" t="str">
        <f aca="false">IF($A35="","",Products!H35)</f>
        <v/>
      </c>
      <c r="E35" s="7" t="str">
        <f aca="false">IF($A35="","",IF($C35&lt;$D35,"REORDER","OK"))</f>
        <v/>
      </c>
    </row>
    <row r="36" customFormat="false" ht="15" hidden="false" customHeight="false" outlineLevel="0" collapsed="false">
      <c r="A36" s="7" t="n">
        <f aca="false">Products!A36</f>
        <v>0</v>
      </c>
      <c r="B36" s="7" t="str">
        <f aca="false">IF($A36="","",Products!B36)</f>
        <v/>
      </c>
      <c r="C36" s="7" t="str">
        <f aca="false">IF($A36="","",SUMIFS(Movements!$E:$E,Movements!$F:$F,$A36))</f>
        <v/>
      </c>
      <c r="D36" s="7" t="str">
        <f aca="false">IF($A36="","",Products!H36)</f>
        <v/>
      </c>
      <c r="E36" s="7" t="str">
        <f aca="false">IF($A36="","",IF($C36&lt;$D36,"REORDER","OK"))</f>
        <v/>
      </c>
    </row>
    <row r="37" customFormat="false" ht="15" hidden="false" customHeight="false" outlineLevel="0" collapsed="false">
      <c r="A37" s="7" t="n">
        <f aca="false">Products!A37</f>
        <v>0</v>
      </c>
      <c r="B37" s="7" t="str">
        <f aca="false">IF($A37="","",Products!B37)</f>
        <v/>
      </c>
      <c r="C37" s="7" t="str">
        <f aca="false">IF($A37="","",SUMIFS(Movements!$E:$E,Movements!$F:$F,$A37))</f>
        <v/>
      </c>
      <c r="D37" s="7" t="str">
        <f aca="false">IF($A37="","",Products!H37)</f>
        <v/>
      </c>
      <c r="E37" s="7" t="str">
        <f aca="false">IF($A37="","",IF($C37&lt;$D37,"REORDER","OK"))</f>
        <v/>
      </c>
    </row>
    <row r="38" customFormat="false" ht="15" hidden="false" customHeight="false" outlineLevel="0" collapsed="false">
      <c r="A38" s="7" t="n">
        <f aca="false">Products!A38</f>
        <v>0</v>
      </c>
      <c r="B38" s="7" t="str">
        <f aca="false">IF($A38="","",Products!B38)</f>
        <v/>
      </c>
      <c r="C38" s="7" t="str">
        <f aca="false">IF($A38="","",SUMIFS(Movements!$E:$E,Movements!$F:$F,$A38))</f>
        <v/>
      </c>
      <c r="D38" s="7" t="str">
        <f aca="false">IF($A38="","",Products!H38)</f>
        <v/>
      </c>
      <c r="E38" s="7" t="str">
        <f aca="false">IF($A38="","",IF($C38&lt;$D38,"REORDER","OK"))</f>
        <v/>
      </c>
    </row>
    <row r="39" customFormat="false" ht="15" hidden="false" customHeight="false" outlineLevel="0" collapsed="false">
      <c r="A39" s="7" t="n">
        <f aca="false">Products!A39</f>
        <v>0</v>
      </c>
      <c r="B39" s="7" t="str">
        <f aca="false">IF($A39="","",Products!B39)</f>
        <v/>
      </c>
      <c r="C39" s="7" t="str">
        <f aca="false">IF($A39="","",SUMIFS(Movements!$E:$E,Movements!$F:$F,$A39))</f>
        <v/>
      </c>
      <c r="D39" s="7" t="str">
        <f aca="false">IF($A39="","",Products!H39)</f>
        <v/>
      </c>
      <c r="E39" s="7" t="str">
        <f aca="false">IF($A39="","",IF($C39&lt;$D39,"REORDER","OK"))</f>
        <v/>
      </c>
    </row>
    <row r="40" customFormat="false" ht="15" hidden="false" customHeight="false" outlineLevel="0" collapsed="false">
      <c r="A40" s="7" t="n">
        <f aca="false">Products!A40</f>
        <v>0</v>
      </c>
      <c r="B40" s="7" t="str">
        <f aca="false">IF($A40="","",Products!B40)</f>
        <v/>
      </c>
      <c r="C40" s="7" t="str">
        <f aca="false">IF($A40="","",SUMIFS(Movements!$E:$E,Movements!$F:$F,$A40))</f>
        <v/>
      </c>
      <c r="D40" s="7" t="str">
        <f aca="false">IF($A40="","",Products!H40)</f>
        <v/>
      </c>
      <c r="E40" s="7" t="str">
        <f aca="false">IF($A40="","",IF($C40&lt;$D40,"REORDER","OK"))</f>
        <v/>
      </c>
    </row>
    <row r="41" customFormat="false" ht="15" hidden="false" customHeight="false" outlineLevel="0" collapsed="false">
      <c r="A41" s="7" t="n">
        <f aca="false">Products!A41</f>
        <v>0</v>
      </c>
      <c r="B41" s="7" t="str">
        <f aca="false">IF($A41="","",Products!B41)</f>
        <v/>
      </c>
      <c r="C41" s="7" t="str">
        <f aca="false">IF($A41="","",SUMIFS(Movements!$E:$E,Movements!$F:$F,$A41))</f>
        <v/>
      </c>
      <c r="D41" s="7" t="str">
        <f aca="false">IF($A41="","",Products!H41)</f>
        <v/>
      </c>
      <c r="E41" s="7" t="str">
        <f aca="false">IF($A41="","",IF($C41&lt;$D41,"REORDER","OK"))</f>
        <v/>
      </c>
    </row>
    <row r="42" customFormat="false" ht="15" hidden="false" customHeight="false" outlineLevel="0" collapsed="false">
      <c r="A42" s="7" t="n">
        <f aca="false">Products!A42</f>
        <v>0</v>
      </c>
      <c r="B42" s="7" t="str">
        <f aca="false">IF($A42="","",Products!B42)</f>
        <v/>
      </c>
      <c r="C42" s="7" t="str">
        <f aca="false">IF($A42="","",SUMIFS(Movements!$E:$E,Movements!$F:$F,$A42))</f>
        <v/>
      </c>
      <c r="D42" s="7" t="str">
        <f aca="false">IF($A42="","",Products!H42)</f>
        <v/>
      </c>
      <c r="E42" s="7" t="str">
        <f aca="false">IF($A42="","",IF($C42&lt;$D42,"REORDER","OK"))</f>
        <v/>
      </c>
    </row>
    <row r="43" customFormat="false" ht="15" hidden="false" customHeight="false" outlineLevel="0" collapsed="false">
      <c r="A43" s="7" t="n">
        <f aca="false">Products!A43</f>
        <v>0</v>
      </c>
      <c r="B43" s="7" t="str">
        <f aca="false">IF($A43="","",Products!B43)</f>
        <v/>
      </c>
      <c r="C43" s="7" t="str">
        <f aca="false">IF($A43="","",SUMIFS(Movements!$E:$E,Movements!$F:$F,$A43))</f>
        <v/>
      </c>
      <c r="D43" s="7" t="str">
        <f aca="false">IF($A43="","",Products!H43)</f>
        <v/>
      </c>
      <c r="E43" s="7" t="str">
        <f aca="false">IF($A43="","",IF($C43&lt;$D43,"REORDER","OK"))</f>
        <v/>
      </c>
    </row>
    <row r="44" customFormat="false" ht="15" hidden="false" customHeight="false" outlineLevel="0" collapsed="false">
      <c r="A44" s="7" t="n">
        <f aca="false">Products!A44</f>
        <v>0</v>
      </c>
      <c r="B44" s="7" t="str">
        <f aca="false">IF($A44="","",Products!B44)</f>
        <v/>
      </c>
      <c r="C44" s="7" t="str">
        <f aca="false">IF($A44="","",SUMIFS(Movements!$E:$E,Movements!$F:$F,$A44))</f>
        <v/>
      </c>
      <c r="D44" s="7" t="str">
        <f aca="false">IF($A44="","",Products!H44)</f>
        <v/>
      </c>
      <c r="E44" s="7" t="str">
        <f aca="false">IF($A44="","",IF($C44&lt;$D44,"REORDER","OK"))</f>
        <v/>
      </c>
    </row>
    <row r="45" customFormat="false" ht="15" hidden="false" customHeight="false" outlineLevel="0" collapsed="false">
      <c r="A45" s="7" t="n">
        <f aca="false">Products!A45</f>
        <v>0</v>
      </c>
      <c r="B45" s="7" t="str">
        <f aca="false">IF($A45="","",Products!B45)</f>
        <v/>
      </c>
      <c r="C45" s="7" t="str">
        <f aca="false">IF($A45="","",SUMIFS(Movements!$E:$E,Movements!$F:$F,$A45))</f>
        <v/>
      </c>
      <c r="D45" s="7" t="str">
        <f aca="false">IF($A45="","",Products!H45)</f>
        <v/>
      </c>
      <c r="E45" s="7" t="str">
        <f aca="false">IF($A45="","",IF($C45&lt;$D45,"REORDER","OK"))</f>
        <v/>
      </c>
    </row>
    <row r="46" customFormat="false" ht="15" hidden="false" customHeight="false" outlineLevel="0" collapsed="false">
      <c r="A46" s="7" t="n">
        <f aca="false">Products!A46</f>
        <v>0</v>
      </c>
      <c r="B46" s="7" t="str">
        <f aca="false">IF($A46="","",Products!B46)</f>
        <v/>
      </c>
      <c r="C46" s="7" t="str">
        <f aca="false">IF($A46="","",SUMIFS(Movements!$E:$E,Movements!$F:$F,$A46))</f>
        <v/>
      </c>
      <c r="D46" s="7" t="str">
        <f aca="false">IF($A46="","",Products!H46)</f>
        <v/>
      </c>
      <c r="E46" s="7" t="str">
        <f aca="false">IF($A46="","",IF($C46&lt;$D46,"REORDER","OK"))</f>
        <v/>
      </c>
    </row>
    <row r="47" customFormat="false" ht="15" hidden="false" customHeight="false" outlineLevel="0" collapsed="false">
      <c r="A47" s="7" t="n">
        <f aca="false">Products!A47</f>
        <v>0</v>
      </c>
      <c r="B47" s="7" t="str">
        <f aca="false">IF($A47="","",Products!B47)</f>
        <v/>
      </c>
      <c r="C47" s="7" t="str">
        <f aca="false">IF($A47="","",SUMIFS(Movements!$E:$E,Movements!$F:$F,$A47))</f>
        <v/>
      </c>
      <c r="D47" s="7" t="str">
        <f aca="false">IF($A47="","",Products!H47)</f>
        <v/>
      </c>
      <c r="E47" s="7" t="str">
        <f aca="false">IF($A47="","",IF($C47&lt;$D47,"REORDER","OK"))</f>
        <v/>
      </c>
    </row>
    <row r="48" customFormat="false" ht="15" hidden="false" customHeight="false" outlineLevel="0" collapsed="false">
      <c r="A48" s="7" t="n">
        <f aca="false">Products!A48</f>
        <v>0</v>
      </c>
      <c r="B48" s="7" t="str">
        <f aca="false">IF($A48="","",Products!B48)</f>
        <v/>
      </c>
      <c r="C48" s="7" t="str">
        <f aca="false">IF($A48="","",SUMIFS(Movements!$E:$E,Movements!$F:$F,$A48))</f>
        <v/>
      </c>
      <c r="D48" s="7" t="str">
        <f aca="false">IF($A48="","",Products!H48)</f>
        <v/>
      </c>
      <c r="E48" s="7" t="str">
        <f aca="false">IF($A48="","",IF($C48&lt;$D48,"REORDER","OK"))</f>
        <v/>
      </c>
    </row>
    <row r="49" customFormat="false" ht="15" hidden="false" customHeight="false" outlineLevel="0" collapsed="false">
      <c r="A49" s="7" t="n">
        <f aca="false">Products!A49</f>
        <v>0</v>
      </c>
      <c r="B49" s="7" t="str">
        <f aca="false">IF($A49="","",Products!B49)</f>
        <v/>
      </c>
      <c r="C49" s="7" t="str">
        <f aca="false">IF($A49="","",SUMIFS(Movements!$E:$E,Movements!$F:$F,$A49))</f>
        <v/>
      </c>
      <c r="D49" s="7" t="str">
        <f aca="false">IF($A49="","",Products!H49)</f>
        <v/>
      </c>
      <c r="E49" s="7" t="str">
        <f aca="false">IF($A49="","",IF($C49&lt;$D49,"REORDER","OK"))</f>
        <v/>
      </c>
    </row>
    <row r="50" customFormat="false" ht="15" hidden="false" customHeight="false" outlineLevel="0" collapsed="false">
      <c r="A50" s="7" t="n">
        <f aca="false">Products!A50</f>
        <v>0</v>
      </c>
      <c r="B50" s="7" t="str">
        <f aca="false">IF($A50="","",Products!B50)</f>
        <v/>
      </c>
      <c r="C50" s="7" t="str">
        <f aca="false">IF($A50="","",SUMIFS(Movements!$E:$E,Movements!$F:$F,$A50))</f>
        <v/>
      </c>
      <c r="D50" s="7" t="str">
        <f aca="false">IF($A50="","",Products!H50)</f>
        <v/>
      </c>
      <c r="E50" s="7" t="str">
        <f aca="false">IF($A50="","",IF($C50&lt;$D50,"REORDER","OK"))</f>
        <v/>
      </c>
    </row>
    <row r="51" customFormat="false" ht="15" hidden="false" customHeight="false" outlineLevel="0" collapsed="false">
      <c r="A51" s="7" t="n">
        <f aca="false">Products!A51</f>
        <v>0</v>
      </c>
      <c r="B51" s="7" t="str">
        <f aca="false">IF($A51="","",Products!B51)</f>
        <v/>
      </c>
      <c r="C51" s="7" t="str">
        <f aca="false">IF($A51="","",SUMIFS(Movements!$E:$E,Movements!$F:$F,$A51))</f>
        <v/>
      </c>
      <c r="D51" s="7" t="str">
        <f aca="false">IF($A51="","",Products!H51)</f>
        <v/>
      </c>
      <c r="E51" s="7" t="str">
        <f aca="false">IF($A51="","",IF($C51&lt;$D51,"REORDER","OK"))</f>
        <v/>
      </c>
    </row>
    <row r="52" customFormat="false" ht="15" hidden="false" customHeight="false" outlineLevel="0" collapsed="false">
      <c r="A52" s="7" t="n">
        <f aca="false">Products!A52</f>
        <v>0</v>
      </c>
      <c r="B52" s="7" t="str">
        <f aca="false">IF($A52="","",Products!B52)</f>
        <v/>
      </c>
      <c r="C52" s="7" t="str">
        <f aca="false">IF($A52="","",SUMIFS(Movements!$E:$E,Movements!$F:$F,$A52))</f>
        <v/>
      </c>
      <c r="D52" s="7" t="str">
        <f aca="false">IF($A52="","",Products!H52)</f>
        <v/>
      </c>
      <c r="E52" s="7" t="str">
        <f aca="false">IF($A52="","",IF($C52&lt;$D52,"REORDER","OK"))</f>
        <v/>
      </c>
    </row>
    <row r="53" customFormat="false" ht="15" hidden="false" customHeight="false" outlineLevel="0" collapsed="false">
      <c r="A53" s="7" t="n">
        <f aca="false">Products!A53</f>
        <v>0</v>
      </c>
      <c r="B53" s="7" t="str">
        <f aca="false">IF($A53="","",Products!B53)</f>
        <v/>
      </c>
      <c r="C53" s="7" t="str">
        <f aca="false">IF($A53="","",SUMIFS(Movements!$E:$E,Movements!$F:$F,$A53))</f>
        <v/>
      </c>
      <c r="D53" s="7" t="str">
        <f aca="false">IF($A53="","",Products!H53)</f>
        <v/>
      </c>
      <c r="E53" s="7" t="str">
        <f aca="false">IF($A53="","",IF($C53&lt;$D53,"REORDER","OK"))</f>
        <v/>
      </c>
    </row>
    <row r="54" customFormat="false" ht="15" hidden="false" customHeight="false" outlineLevel="0" collapsed="false">
      <c r="A54" s="7" t="n">
        <f aca="false">Products!A54</f>
        <v>0</v>
      </c>
      <c r="B54" s="7" t="str">
        <f aca="false">IF($A54="","",Products!B54)</f>
        <v/>
      </c>
      <c r="C54" s="7" t="str">
        <f aca="false">IF($A54="","",SUMIFS(Movements!$E:$E,Movements!$F:$F,$A54))</f>
        <v/>
      </c>
      <c r="D54" s="7" t="str">
        <f aca="false">IF($A54="","",Products!H54)</f>
        <v/>
      </c>
      <c r="E54" s="7" t="str">
        <f aca="false">IF($A54="","",IF($C54&lt;$D54,"REORDER","OK"))</f>
        <v/>
      </c>
    </row>
    <row r="55" customFormat="false" ht="15" hidden="false" customHeight="false" outlineLevel="0" collapsed="false">
      <c r="A55" s="7" t="n">
        <f aca="false">Products!A55</f>
        <v>0</v>
      </c>
      <c r="B55" s="7" t="str">
        <f aca="false">IF($A55="","",Products!B55)</f>
        <v/>
      </c>
      <c r="C55" s="7" t="str">
        <f aca="false">IF($A55="","",SUMIFS(Movements!$E:$E,Movements!$F:$F,$A55))</f>
        <v/>
      </c>
      <c r="D55" s="7" t="str">
        <f aca="false">IF($A55="","",Products!H55)</f>
        <v/>
      </c>
      <c r="E55" s="7" t="str">
        <f aca="false">IF($A55="","",IF($C55&lt;$D55,"REORDER","OK"))</f>
        <v/>
      </c>
    </row>
    <row r="56" customFormat="false" ht="15" hidden="false" customHeight="false" outlineLevel="0" collapsed="false">
      <c r="A56" s="7" t="n">
        <f aca="false">Products!A56</f>
        <v>0</v>
      </c>
      <c r="B56" s="7" t="str">
        <f aca="false">IF($A56="","",Products!B56)</f>
        <v/>
      </c>
      <c r="C56" s="7" t="str">
        <f aca="false">IF($A56="","",SUMIFS(Movements!$E:$E,Movements!$F:$F,$A56))</f>
        <v/>
      </c>
      <c r="D56" s="7" t="str">
        <f aca="false">IF($A56="","",Products!H56)</f>
        <v/>
      </c>
      <c r="E56" s="7" t="str">
        <f aca="false">IF($A56="","",IF($C56&lt;$D56,"REORDER","OK"))</f>
        <v/>
      </c>
    </row>
    <row r="57" customFormat="false" ht="15" hidden="false" customHeight="false" outlineLevel="0" collapsed="false">
      <c r="A57" s="7" t="n">
        <f aca="false">Products!A57</f>
        <v>0</v>
      </c>
      <c r="B57" s="7" t="str">
        <f aca="false">IF($A57="","",Products!B57)</f>
        <v/>
      </c>
      <c r="C57" s="7" t="str">
        <f aca="false">IF($A57="","",SUMIFS(Movements!$E:$E,Movements!$F:$F,$A57))</f>
        <v/>
      </c>
      <c r="D57" s="7" t="str">
        <f aca="false">IF($A57="","",Products!H57)</f>
        <v/>
      </c>
      <c r="E57" s="7" t="str">
        <f aca="false">IF($A57="","",IF($C57&lt;$D57,"REORDER","OK"))</f>
        <v/>
      </c>
    </row>
    <row r="58" customFormat="false" ht="15" hidden="false" customHeight="false" outlineLevel="0" collapsed="false">
      <c r="A58" s="7" t="n">
        <f aca="false">Products!A58</f>
        <v>0</v>
      </c>
      <c r="B58" s="7" t="str">
        <f aca="false">IF($A58="","",Products!B58)</f>
        <v/>
      </c>
      <c r="C58" s="7" t="str">
        <f aca="false">IF($A58="","",SUMIFS(Movements!$E:$E,Movements!$F:$F,$A58))</f>
        <v/>
      </c>
      <c r="D58" s="7" t="str">
        <f aca="false">IF($A58="","",Products!H58)</f>
        <v/>
      </c>
      <c r="E58" s="7" t="str">
        <f aca="false">IF($A58="","",IF($C58&lt;$D58,"REORDER","OK"))</f>
        <v/>
      </c>
    </row>
    <row r="59" customFormat="false" ht="15" hidden="false" customHeight="false" outlineLevel="0" collapsed="false">
      <c r="A59" s="7" t="n">
        <f aca="false">Products!A59</f>
        <v>0</v>
      </c>
      <c r="B59" s="7" t="str">
        <f aca="false">IF($A59="","",Products!B59)</f>
        <v/>
      </c>
      <c r="C59" s="7" t="str">
        <f aca="false">IF($A59="","",SUMIFS(Movements!$E:$E,Movements!$F:$F,$A59))</f>
        <v/>
      </c>
      <c r="D59" s="7" t="str">
        <f aca="false">IF($A59="","",Products!H59)</f>
        <v/>
      </c>
      <c r="E59" s="7" t="str">
        <f aca="false">IF($A59="","",IF($C59&lt;$D59,"REORDER","OK"))</f>
        <v/>
      </c>
    </row>
    <row r="60" customFormat="false" ht="15" hidden="false" customHeight="false" outlineLevel="0" collapsed="false">
      <c r="A60" s="7" t="n">
        <f aca="false">Products!A60</f>
        <v>0</v>
      </c>
      <c r="B60" s="7" t="str">
        <f aca="false">IF($A60="","",Products!B60)</f>
        <v/>
      </c>
      <c r="C60" s="7" t="str">
        <f aca="false">IF($A60="","",SUMIFS(Movements!$E:$E,Movements!$F:$F,$A60))</f>
        <v/>
      </c>
      <c r="D60" s="7" t="str">
        <f aca="false">IF($A60="","",Products!H60)</f>
        <v/>
      </c>
      <c r="E60" s="7" t="str">
        <f aca="false">IF($A60="","",IF($C60&lt;$D60,"REORDER","OK"))</f>
        <v/>
      </c>
    </row>
    <row r="61" customFormat="false" ht="15" hidden="false" customHeight="false" outlineLevel="0" collapsed="false">
      <c r="A61" s="7" t="n">
        <f aca="false">Products!A61</f>
        <v>0</v>
      </c>
      <c r="B61" s="7" t="str">
        <f aca="false">IF($A61="","",Products!B61)</f>
        <v/>
      </c>
      <c r="C61" s="7" t="str">
        <f aca="false">IF($A61="","",SUMIFS(Movements!$E:$E,Movements!$F:$F,$A61))</f>
        <v/>
      </c>
      <c r="D61" s="7" t="str">
        <f aca="false">IF($A61="","",Products!H61)</f>
        <v/>
      </c>
      <c r="E61" s="7" t="str">
        <f aca="false">IF($A61="","",IF($C61&lt;$D61,"REORDER","OK"))</f>
        <v/>
      </c>
    </row>
    <row r="62" customFormat="false" ht="15" hidden="false" customHeight="false" outlineLevel="0" collapsed="false">
      <c r="A62" s="7" t="n">
        <f aca="false">Products!A62</f>
        <v>0</v>
      </c>
      <c r="B62" s="7" t="str">
        <f aca="false">IF($A62="","",Products!B62)</f>
        <v/>
      </c>
      <c r="C62" s="7" t="str">
        <f aca="false">IF($A62="","",SUMIFS(Movements!$E:$E,Movements!$F:$F,$A62))</f>
        <v/>
      </c>
      <c r="D62" s="7" t="str">
        <f aca="false">IF($A62="","",Products!H62)</f>
        <v/>
      </c>
      <c r="E62" s="7" t="str">
        <f aca="false">IF($A62="","",IF($C62&lt;$D62,"REORDER","OK"))</f>
        <v/>
      </c>
    </row>
    <row r="63" customFormat="false" ht="15" hidden="false" customHeight="false" outlineLevel="0" collapsed="false">
      <c r="A63" s="7" t="n">
        <f aca="false">Products!A63</f>
        <v>0</v>
      </c>
      <c r="B63" s="7" t="str">
        <f aca="false">IF($A63="","",Products!B63)</f>
        <v/>
      </c>
      <c r="C63" s="7" t="str">
        <f aca="false">IF($A63="","",SUMIFS(Movements!$E:$E,Movements!$F:$F,$A63))</f>
        <v/>
      </c>
      <c r="D63" s="7" t="str">
        <f aca="false">IF($A63="","",Products!H63)</f>
        <v/>
      </c>
      <c r="E63" s="7" t="str">
        <f aca="false">IF($A63="","",IF($C63&lt;$D63,"REORDER","OK"))</f>
        <v/>
      </c>
    </row>
    <row r="64" customFormat="false" ht="15" hidden="false" customHeight="false" outlineLevel="0" collapsed="false">
      <c r="A64" s="7" t="n">
        <f aca="false">Products!A64</f>
        <v>0</v>
      </c>
      <c r="B64" s="7" t="str">
        <f aca="false">IF($A64="","",Products!B64)</f>
        <v/>
      </c>
      <c r="C64" s="7" t="str">
        <f aca="false">IF($A64="","",SUMIFS(Movements!$E:$E,Movements!$F:$F,$A64))</f>
        <v/>
      </c>
      <c r="D64" s="7" t="str">
        <f aca="false">IF($A64="","",Products!H64)</f>
        <v/>
      </c>
      <c r="E64" s="7" t="str">
        <f aca="false">IF($A64="","",IF($C64&lt;$D64,"REORDER","OK"))</f>
        <v/>
      </c>
    </row>
    <row r="65" customFormat="false" ht="15" hidden="false" customHeight="false" outlineLevel="0" collapsed="false">
      <c r="A65" s="7" t="n">
        <f aca="false">Products!A65</f>
        <v>0</v>
      </c>
      <c r="B65" s="7" t="str">
        <f aca="false">IF($A65="","",Products!B65)</f>
        <v/>
      </c>
      <c r="C65" s="7" t="str">
        <f aca="false">IF($A65="","",SUMIFS(Movements!$E:$E,Movements!$F:$F,$A65))</f>
        <v/>
      </c>
      <c r="D65" s="7" t="str">
        <f aca="false">IF($A65="","",Products!H65)</f>
        <v/>
      </c>
      <c r="E65" s="7" t="str">
        <f aca="false">IF($A65="","",IF($C65&lt;$D65,"REORDER","OK"))</f>
        <v/>
      </c>
    </row>
    <row r="66" customFormat="false" ht="15" hidden="false" customHeight="false" outlineLevel="0" collapsed="false">
      <c r="A66" s="7" t="n">
        <f aca="false">Products!A66</f>
        <v>0</v>
      </c>
      <c r="B66" s="7" t="str">
        <f aca="false">IF($A66="","",Products!B66)</f>
        <v/>
      </c>
      <c r="C66" s="7" t="str">
        <f aca="false">IF($A66="","",SUMIFS(Movements!$E:$E,Movements!$F:$F,$A66))</f>
        <v/>
      </c>
      <c r="D66" s="7" t="str">
        <f aca="false">IF($A66="","",Products!H66)</f>
        <v/>
      </c>
      <c r="E66" s="7" t="str">
        <f aca="false">IF($A66="","",IF($C66&lt;$D66,"REORDER","OK"))</f>
        <v/>
      </c>
    </row>
    <row r="67" customFormat="false" ht="15" hidden="false" customHeight="false" outlineLevel="0" collapsed="false">
      <c r="A67" s="7" t="n">
        <f aca="false">Products!A67</f>
        <v>0</v>
      </c>
      <c r="B67" s="7" t="str">
        <f aca="false">IF($A67="","",Products!B67)</f>
        <v/>
      </c>
      <c r="C67" s="7" t="str">
        <f aca="false">IF($A67="","",SUMIFS(Movements!$E:$E,Movements!$F:$F,$A67))</f>
        <v/>
      </c>
      <c r="D67" s="7" t="str">
        <f aca="false">IF($A67="","",Products!H67)</f>
        <v/>
      </c>
      <c r="E67" s="7" t="str">
        <f aca="false">IF($A67="","",IF($C67&lt;$D67,"REORDER","OK"))</f>
        <v/>
      </c>
    </row>
    <row r="68" customFormat="false" ht="15" hidden="false" customHeight="false" outlineLevel="0" collapsed="false">
      <c r="A68" s="7" t="n">
        <f aca="false">Products!A68</f>
        <v>0</v>
      </c>
      <c r="B68" s="7" t="str">
        <f aca="false">IF($A68="","",Products!B68)</f>
        <v/>
      </c>
      <c r="C68" s="7" t="str">
        <f aca="false">IF($A68="","",SUMIFS(Movements!$E:$E,Movements!$F:$F,$A68))</f>
        <v/>
      </c>
      <c r="D68" s="7" t="str">
        <f aca="false">IF($A68="","",Products!H68)</f>
        <v/>
      </c>
      <c r="E68" s="7" t="str">
        <f aca="false">IF($A68="","",IF($C68&lt;$D68,"REORDER","OK"))</f>
        <v/>
      </c>
    </row>
    <row r="69" customFormat="false" ht="15" hidden="false" customHeight="false" outlineLevel="0" collapsed="false">
      <c r="A69" s="7" t="n">
        <f aca="false">Products!A69</f>
        <v>0</v>
      </c>
      <c r="B69" s="7" t="str">
        <f aca="false">IF($A69="","",Products!B69)</f>
        <v/>
      </c>
      <c r="C69" s="7" t="str">
        <f aca="false">IF($A69="","",SUMIFS(Movements!$E:$E,Movements!$F:$F,$A69))</f>
        <v/>
      </c>
      <c r="D69" s="7" t="str">
        <f aca="false">IF($A69="","",Products!H69)</f>
        <v/>
      </c>
      <c r="E69" s="7" t="str">
        <f aca="false">IF($A69="","",IF($C69&lt;$D69,"REORDER","OK"))</f>
        <v/>
      </c>
    </row>
    <row r="70" customFormat="false" ht="15" hidden="false" customHeight="false" outlineLevel="0" collapsed="false">
      <c r="A70" s="7" t="n">
        <f aca="false">Products!A70</f>
        <v>0</v>
      </c>
      <c r="B70" s="7" t="str">
        <f aca="false">IF($A70="","",Products!B70)</f>
        <v/>
      </c>
      <c r="C70" s="7" t="str">
        <f aca="false">IF($A70="","",SUMIFS(Movements!$E:$E,Movements!$F:$F,$A70))</f>
        <v/>
      </c>
      <c r="D70" s="7" t="str">
        <f aca="false">IF($A70="","",Products!H70)</f>
        <v/>
      </c>
      <c r="E70" s="7" t="str">
        <f aca="false">IF($A70="","",IF($C70&lt;$D70,"REORDER","OK"))</f>
        <v/>
      </c>
    </row>
    <row r="71" customFormat="false" ht="15" hidden="false" customHeight="false" outlineLevel="0" collapsed="false">
      <c r="A71" s="7" t="n">
        <f aca="false">Products!A71</f>
        <v>0</v>
      </c>
      <c r="B71" s="7" t="str">
        <f aca="false">IF($A71="","",Products!B71)</f>
        <v/>
      </c>
      <c r="C71" s="7" t="str">
        <f aca="false">IF($A71="","",SUMIFS(Movements!$E:$E,Movements!$F:$F,$A71))</f>
        <v/>
      </c>
      <c r="D71" s="7" t="str">
        <f aca="false">IF($A71="","",Products!H71)</f>
        <v/>
      </c>
      <c r="E71" s="7" t="str">
        <f aca="false">IF($A71="","",IF($C71&lt;$D71,"REORDER","OK"))</f>
        <v/>
      </c>
    </row>
    <row r="72" customFormat="false" ht="15" hidden="false" customHeight="false" outlineLevel="0" collapsed="false">
      <c r="A72" s="7" t="n">
        <f aca="false">Products!A72</f>
        <v>0</v>
      </c>
      <c r="B72" s="7" t="str">
        <f aca="false">IF($A72="","",Products!B72)</f>
        <v/>
      </c>
      <c r="C72" s="7" t="str">
        <f aca="false">IF($A72="","",SUMIFS(Movements!$E:$E,Movements!$F:$F,$A72))</f>
        <v/>
      </c>
      <c r="D72" s="7" t="str">
        <f aca="false">IF($A72="","",Products!H72)</f>
        <v/>
      </c>
      <c r="E72" s="7" t="str">
        <f aca="false">IF($A72="","",IF($C72&lt;$D72,"REORDER","OK"))</f>
        <v/>
      </c>
    </row>
    <row r="73" customFormat="false" ht="15" hidden="false" customHeight="false" outlineLevel="0" collapsed="false">
      <c r="A73" s="7" t="n">
        <f aca="false">Products!A73</f>
        <v>0</v>
      </c>
      <c r="B73" s="7" t="str">
        <f aca="false">IF($A73="","",Products!B73)</f>
        <v/>
      </c>
      <c r="C73" s="7" t="str">
        <f aca="false">IF($A73="","",SUMIFS(Movements!$E:$E,Movements!$F:$F,$A73))</f>
        <v/>
      </c>
      <c r="D73" s="7" t="str">
        <f aca="false">IF($A73="","",Products!H73)</f>
        <v/>
      </c>
      <c r="E73" s="7" t="str">
        <f aca="false">IF($A73="","",IF($C73&lt;$D73,"REORDER","OK"))</f>
        <v/>
      </c>
    </row>
    <row r="74" customFormat="false" ht="15" hidden="false" customHeight="false" outlineLevel="0" collapsed="false">
      <c r="A74" s="7" t="n">
        <f aca="false">Products!A74</f>
        <v>0</v>
      </c>
      <c r="B74" s="7" t="str">
        <f aca="false">IF($A74="","",Products!B74)</f>
        <v/>
      </c>
      <c r="C74" s="7" t="str">
        <f aca="false">IF($A74="","",SUMIFS(Movements!$E:$E,Movements!$F:$F,$A74))</f>
        <v/>
      </c>
      <c r="D74" s="7" t="str">
        <f aca="false">IF($A74="","",Products!H74)</f>
        <v/>
      </c>
      <c r="E74" s="7" t="str">
        <f aca="false">IF($A74="","",IF($C74&lt;$D74,"REORDER","OK"))</f>
        <v/>
      </c>
    </row>
    <row r="75" customFormat="false" ht="15" hidden="false" customHeight="false" outlineLevel="0" collapsed="false">
      <c r="A75" s="7" t="n">
        <f aca="false">Products!A75</f>
        <v>0</v>
      </c>
      <c r="B75" s="7" t="str">
        <f aca="false">IF($A75="","",Products!B75)</f>
        <v/>
      </c>
      <c r="C75" s="7" t="str">
        <f aca="false">IF($A75="","",SUMIFS(Movements!$E:$E,Movements!$F:$F,$A75))</f>
        <v/>
      </c>
      <c r="D75" s="7" t="str">
        <f aca="false">IF($A75="","",Products!H75)</f>
        <v/>
      </c>
      <c r="E75" s="7" t="str">
        <f aca="false">IF($A75="","",IF($C75&lt;$D75,"REORDER","OK"))</f>
        <v/>
      </c>
    </row>
    <row r="76" customFormat="false" ht="15" hidden="false" customHeight="false" outlineLevel="0" collapsed="false">
      <c r="A76" s="7" t="n">
        <f aca="false">Products!A76</f>
        <v>0</v>
      </c>
      <c r="B76" s="7" t="str">
        <f aca="false">IF($A76="","",Products!B76)</f>
        <v/>
      </c>
      <c r="C76" s="7" t="str">
        <f aca="false">IF($A76="","",SUMIFS(Movements!$E:$E,Movements!$F:$F,$A76))</f>
        <v/>
      </c>
      <c r="D76" s="7" t="str">
        <f aca="false">IF($A76="","",Products!H76)</f>
        <v/>
      </c>
      <c r="E76" s="7" t="str">
        <f aca="false">IF($A76="","",IF($C76&lt;$D76,"REORDER","OK"))</f>
        <v/>
      </c>
    </row>
    <row r="77" customFormat="false" ht="15" hidden="false" customHeight="false" outlineLevel="0" collapsed="false">
      <c r="A77" s="7" t="n">
        <f aca="false">Products!A77</f>
        <v>0</v>
      </c>
      <c r="B77" s="7" t="str">
        <f aca="false">IF($A77="","",Products!B77)</f>
        <v/>
      </c>
      <c r="C77" s="7" t="str">
        <f aca="false">IF($A77="","",SUMIFS(Movements!$E:$E,Movements!$F:$F,$A77))</f>
        <v/>
      </c>
      <c r="D77" s="7" t="str">
        <f aca="false">IF($A77="","",Products!H77)</f>
        <v/>
      </c>
      <c r="E77" s="7" t="str">
        <f aca="false">IF($A77="","",IF($C77&lt;$D77,"REORDER","OK"))</f>
        <v/>
      </c>
    </row>
    <row r="78" customFormat="false" ht="15" hidden="false" customHeight="false" outlineLevel="0" collapsed="false">
      <c r="A78" s="7" t="n">
        <f aca="false">Products!A78</f>
        <v>0</v>
      </c>
      <c r="B78" s="7" t="str">
        <f aca="false">IF($A78="","",Products!B78)</f>
        <v/>
      </c>
      <c r="C78" s="7" t="str">
        <f aca="false">IF($A78="","",SUMIFS(Movements!$E:$E,Movements!$F:$F,$A78))</f>
        <v/>
      </c>
      <c r="D78" s="7" t="str">
        <f aca="false">IF($A78="","",Products!H78)</f>
        <v/>
      </c>
      <c r="E78" s="7" t="str">
        <f aca="false">IF($A78="","",IF($C78&lt;$D78,"REORDER","OK"))</f>
        <v/>
      </c>
    </row>
    <row r="79" customFormat="false" ht="15" hidden="false" customHeight="false" outlineLevel="0" collapsed="false">
      <c r="A79" s="7" t="n">
        <f aca="false">Products!A79</f>
        <v>0</v>
      </c>
      <c r="B79" s="7" t="str">
        <f aca="false">IF($A79="","",Products!B79)</f>
        <v/>
      </c>
      <c r="C79" s="7" t="str">
        <f aca="false">IF($A79="","",SUMIFS(Movements!$E:$E,Movements!$F:$F,$A79))</f>
        <v/>
      </c>
      <c r="D79" s="7" t="str">
        <f aca="false">IF($A79="","",Products!H79)</f>
        <v/>
      </c>
      <c r="E79" s="7" t="str">
        <f aca="false">IF($A79="","",IF($C79&lt;$D79,"REORDER","OK"))</f>
        <v/>
      </c>
    </row>
    <row r="80" customFormat="false" ht="15" hidden="false" customHeight="false" outlineLevel="0" collapsed="false">
      <c r="A80" s="7" t="n">
        <f aca="false">Products!A80</f>
        <v>0</v>
      </c>
      <c r="B80" s="7" t="str">
        <f aca="false">IF($A80="","",Products!B80)</f>
        <v/>
      </c>
      <c r="C80" s="7" t="str">
        <f aca="false">IF($A80="","",SUMIFS(Movements!$E:$E,Movements!$F:$F,$A80))</f>
        <v/>
      </c>
      <c r="D80" s="7" t="str">
        <f aca="false">IF($A80="","",Products!H80)</f>
        <v/>
      </c>
      <c r="E80" s="7" t="str">
        <f aca="false">IF($A80="","",IF($C80&lt;$D80,"REORDER","OK"))</f>
        <v/>
      </c>
    </row>
    <row r="81" customFormat="false" ht="15" hidden="false" customHeight="false" outlineLevel="0" collapsed="false">
      <c r="A81" s="7" t="n">
        <f aca="false">Products!A81</f>
        <v>0</v>
      </c>
      <c r="B81" s="7" t="str">
        <f aca="false">IF($A81="","",Products!B81)</f>
        <v/>
      </c>
      <c r="C81" s="7" t="str">
        <f aca="false">IF($A81="","",SUMIFS(Movements!$E:$E,Movements!$F:$F,$A81))</f>
        <v/>
      </c>
      <c r="D81" s="7" t="str">
        <f aca="false">IF($A81="","",Products!H81)</f>
        <v/>
      </c>
      <c r="E81" s="7" t="str">
        <f aca="false">IF($A81="","",IF($C81&lt;$D81,"REORDER","OK"))</f>
        <v/>
      </c>
    </row>
    <row r="82" customFormat="false" ht="15" hidden="false" customHeight="false" outlineLevel="0" collapsed="false">
      <c r="A82" s="7" t="n">
        <f aca="false">Products!A82</f>
        <v>0</v>
      </c>
      <c r="B82" s="7" t="str">
        <f aca="false">IF($A82="","",Products!B82)</f>
        <v/>
      </c>
      <c r="C82" s="7" t="str">
        <f aca="false">IF($A82="","",SUMIFS(Movements!$E:$E,Movements!$F:$F,$A82))</f>
        <v/>
      </c>
      <c r="D82" s="7" t="str">
        <f aca="false">IF($A82="","",Products!H82)</f>
        <v/>
      </c>
      <c r="E82" s="7" t="str">
        <f aca="false">IF($A82="","",IF($C82&lt;$D82,"REORDER","OK"))</f>
        <v/>
      </c>
    </row>
    <row r="83" customFormat="false" ht="15" hidden="false" customHeight="false" outlineLevel="0" collapsed="false">
      <c r="A83" s="7" t="n">
        <f aca="false">Products!A83</f>
        <v>0</v>
      </c>
      <c r="B83" s="7" t="str">
        <f aca="false">IF($A83="","",Products!B83)</f>
        <v/>
      </c>
      <c r="C83" s="7" t="str">
        <f aca="false">IF($A83="","",SUMIFS(Movements!$E:$E,Movements!$F:$F,$A83))</f>
        <v/>
      </c>
      <c r="D83" s="7" t="str">
        <f aca="false">IF($A83="","",Products!H83)</f>
        <v/>
      </c>
      <c r="E83" s="7" t="str">
        <f aca="false">IF($A83="","",IF($C83&lt;$D83,"REORDER","OK"))</f>
        <v/>
      </c>
    </row>
    <row r="84" customFormat="false" ht="15" hidden="false" customHeight="false" outlineLevel="0" collapsed="false">
      <c r="A84" s="7" t="n">
        <f aca="false">Products!A84</f>
        <v>0</v>
      </c>
      <c r="B84" s="7" t="str">
        <f aca="false">IF($A84="","",Products!B84)</f>
        <v/>
      </c>
      <c r="C84" s="7" t="str">
        <f aca="false">IF($A84="","",SUMIFS(Movements!$E:$E,Movements!$F:$F,$A84))</f>
        <v/>
      </c>
      <c r="D84" s="7" t="str">
        <f aca="false">IF($A84="","",Products!H84)</f>
        <v/>
      </c>
      <c r="E84" s="7" t="str">
        <f aca="false">IF($A84="","",IF($C84&lt;$D84,"REORDER","OK"))</f>
        <v/>
      </c>
    </row>
    <row r="85" customFormat="false" ht="15" hidden="false" customHeight="false" outlineLevel="0" collapsed="false">
      <c r="A85" s="7" t="n">
        <f aca="false">Products!A85</f>
        <v>0</v>
      </c>
      <c r="B85" s="7" t="str">
        <f aca="false">IF($A85="","",Products!B85)</f>
        <v/>
      </c>
      <c r="C85" s="7" t="str">
        <f aca="false">IF($A85="","",SUMIFS(Movements!$E:$E,Movements!$F:$F,$A85))</f>
        <v/>
      </c>
      <c r="D85" s="7" t="str">
        <f aca="false">IF($A85="","",Products!H85)</f>
        <v/>
      </c>
      <c r="E85" s="7" t="str">
        <f aca="false">IF($A85="","",IF($C85&lt;$D85,"REORDER","OK"))</f>
        <v/>
      </c>
    </row>
    <row r="86" customFormat="false" ht="15" hidden="false" customHeight="false" outlineLevel="0" collapsed="false">
      <c r="A86" s="7" t="n">
        <f aca="false">Products!A86</f>
        <v>0</v>
      </c>
      <c r="B86" s="7" t="str">
        <f aca="false">IF($A86="","",Products!B86)</f>
        <v/>
      </c>
      <c r="C86" s="7" t="str">
        <f aca="false">IF($A86="","",SUMIFS(Movements!$E:$E,Movements!$F:$F,$A86))</f>
        <v/>
      </c>
      <c r="D86" s="7" t="str">
        <f aca="false">IF($A86="","",Products!H86)</f>
        <v/>
      </c>
      <c r="E86" s="7" t="str">
        <f aca="false">IF($A86="","",IF($C86&lt;$D86,"REORDER","OK"))</f>
        <v/>
      </c>
    </row>
    <row r="87" customFormat="false" ht="15" hidden="false" customHeight="false" outlineLevel="0" collapsed="false">
      <c r="A87" s="7" t="n">
        <f aca="false">Products!A87</f>
        <v>0</v>
      </c>
      <c r="B87" s="7" t="str">
        <f aca="false">IF($A87="","",Products!B87)</f>
        <v/>
      </c>
      <c r="C87" s="7" t="str">
        <f aca="false">IF($A87="","",SUMIFS(Movements!$E:$E,Movements!$F:$F,$A87))</f>
        <v/>
      </c>
      <c r="D87" s="7" t="str">
        <f aca="false">IF($A87="","",Products!H87)</f>
        <v/>
      </c>
      <c r="E87" s="7" t="str">
        <f aca="false">IF($A87="","",IF($C87&lt;$D87,"REORDER","OK"))</f>
        <v/>
      </c>
    </row>
    <row r="88" customFormat="false" ht="15" hidden="false" customHeight="false" outlineLevel="0" collapsed="false">
      <c r="A88" s="7" t="n">
        <f aca="false">Products!A88</f>
        <v>0</v>
      </c>
      <c r="B88" s="7" t="str">
        <f aca="false">IF($A88="","",Products!B88)</f>
        <v/>
      </c>
      <c r="C88" s="7" t="str">
        <f aca="false">IF($A88="","",SUMIFS(Movements!$E:$E,Movements!$F:$F,$A88))</f>
        <v/>
      </c>
      <c r="D88" s="7" t="str">
        <f aca="false">IF($A88="","",Products!H88)</f>
        <v/>
      </c>
      <c r="E88" s="7" t="str">
        <f aca="false">IF($A88="","",IF($C88&lt;$D88,"REORDER","OK"))</f>
        <v/>
      </c>
    </row>
    <row r="89" customFormat="false" ht="15" hidden="false" customHeight="false" outlineLevel="0" collapsed="false">
      <c r="A89" s="7" t="n">
        <f aca="false">Products!A89</f>
        <v>0</v>
      </c>
      <c r="B89" s="7" t="str">
        <f aca="false">IF($A89="","",Products!B89)</f>
        <v/>
      </c>
      <c r="C89" s="7" t="str">
        <f aca="false">IF($A89="","",SUMIFS(Movements!$E:$E,Movements!$F:$F,$A89))</f>
        <v/>
      </c>
      <c r="D89" s="7" t="str">
        <f aca="false">IF($A89="","",Products!H89)</f>
        <v/>
      </c>
      <c r="E89" s="7" t="str">
        <f aca="false">IF($A89="","",IF($C89&lt;$D89,"REORDER","OK"))</f>
        <v/>
      </c>
    </row>
    <row r="90" customFormat="false" ht="15" hidden="false" customHeight="false" outlineLevel="0" collapsed="false">
      <c r="A90" s="7" t="n">
        <f aca="false">Products!A90</f>
        <v>0</v>
      </c>
      <c r="B90" s="7" t="str">
        <f aca="false">IF($A90="","",Products!B90)</f>
        <v/>
      </c>
      <c r="C90" s="7" t="str">
        <f aca="false">IF($A90="","",SUMIFS(Movements!$E:$E,Movements!$F:$F,$A90))</f>
        <v/>
      </c>
      <c r="D90" s="7" t="str">
        <f aca="false">IF($A90="","",Products!H90)</f>
        <v/>
      </c>
      <c r="E90" s="7" t="str">
        <f aca="false">IF($A90="","",IF($C90&lt;$D90,"REORDER","OK"))</f>
        <v/>
      </c>
    </row>
    <row r="91" customFormat="false" ht="15" hidden="false" customHeight="false" outlineLevel="0" collapsed="false">
      <c r="A91" s="7" t="n">
        <f aca="false">Products!A91</f>
        <v>0</v>
      </c>
      <c r="B91" s="7" t="str">
        <f aca="false">IF($A91="","",Products!B91)</f>
        <v/>
      </c>
      <c r="C91" s="7" t="str">
        <f aca="false">IF($A91="","",SUMIFS(Movements!$E:$E,Movements!$F:$F,$A91))</f>
        <v/>
      </c>
      <c r="D91" s="7" t="str">
        <f aca="false">IF($A91="","",Products!H91)</f>
        <v/>
      </c>
      <c r="E91" s="7" t="str">
        <f aca="false">IF($A91="","",IF($C91&lt;$D91,"REORDER","OK"))</f>
        <v/>
      </c>
    </row>
    <row r="92" customFormat="false" ht="15" hidden="false" customHeight="false" outlineLevel="0" collapsed="false">
      <c r="A92" s="7" t="n">
        <f aca="false">Products!A92</f>
        <v>0</v>
      </c>
      <c r="B92" s="7" t="str">
        <f aca="false">IF($A92="","",Products!B92)</f>
        <v/>
      </c>
      <c r="C92" s="7" t="str">
        <f aca="false">IF($A92="","",SUMIFS(Movements!$E:$E,Movements!$F:$F,$A92))</f>
        <v/>
      </c>
      <c r="D92" s="7" t="str">
        <f aca="false">IF($A92="","",Products!H92)</f>
        <v/>
      </c>
      <c r="E92" s="7" t="str">
        <f aca="false">IF($A92="","",IF($C92&lt;$D92,"REORDER","OK"))</f>
        <v/>
      </c>
    </row>
    <row r="93" customFormat="false" ht="15" hidden="false" customHeight="false" outlineLevel="0" collapsed="false">
      <c r="A93" s="7" t="n">
        <f aca="false">Products!A93</f>
        <v>0</v>
      </c>
      <c r="B93" s="7" t="str">
        <f aca="false">IF($A93="","",Products!B93)</f>
        <v/>
      </c>
      <c r="C93" s="7" t="str">
        <f aca="false">IF($A93="","",SUMIFS(Movements!$E:$E,Movements!$F:$F,$A93))</f>
        <v/>
      </c>
      <c r="D93" s="7" t="str">
        <f aca="false">IF($A93="","",Products!H93)</f>
        <v/>
      </c>
      <c r="E93" s="7" t="str">
        <f aca="false">IF($A93="","",IF($C93&lt;$D93,"REORDER","OK"))</f>
        <v/>
      </c>
    </row>
    <row r="94" customFormat="false" ht="15" hidden="false" customHeight="false" outlineLevel="0" collapsed="false">
      <c r="A94" s="7" t="n">
        <f aca="false">Products!A94</f>
        <v>0</v>
      </c>
      <c r="B94" s="7" t="str">
        <f aca="false">IF($A94="","",Products!B94)</f>
        <v/>
      </c>
      <c r="C94" s="7" t="str">
        <f aca="false">IF($A94="","",SUMIFS(Movements!$E:$E,Movements!$F:$F,$A94))</f>
        <v/>
      </c>
      <c r="D94" s="7" t="str">
        <f aca="false">IF($A94="","",Products!H94)</f>
        <v/>
      </c>
      <c r="E94" s="7" t="str">
        <f aca="false">IF($A94="","",IF($C94&lt;$D94,"REORDER","OK"))</f>
        <v/>
      </c>
    </row>
    <row r="95" customFormat="false" ht="15" hidden="false" customHeight="false" outlineLevel="0" collapsed="false">
      <c r="A95" s="7" t="n">
        <f aca="false">Products!A95</f>
        <v>0</v>
      </c>
      <c r="B95" s="7" t="str">
        <f aca="false">IF($A95="","",Products!B95)</f>
        <v/>
      </c>
      <c r="C95" s="7" t="str">
        <f aca="false">IF($A95="","",SUMIFS(Movements!$E:$E,Movements!$F:$F,$A95))</f>
        <v/>
      </c>
      <c r="D95" s="7" t="str">
        <f aca="false">IF($A95="","",Products!H95)</f>
        <v/>
      </c>
      <c r="E95" s="7" t="str">
        <f aca="false">IF($A95="","",IF($C95&lt;$D95,"REORDER","OK"))</f>
        <v/>
      </c>
    </row>
    <row r="96" customFormat="false" ht="15" hidden="false" customHeight="false" outlineLevel="0" collapsed="false">
      <c r="A96" s="7" t="n">
        <f aca="false">Products!A96</f>
        <v>0</v>
      </c>
      <c r="B96" s="7" t="str">
        <f aca="false">IF($A96="","",Products!B96)</f>
        <v/>
      </c>
      <c r="C96" s="7" t="str">
        <f aca="false">IF($A96="","",SUMIFS(Movements!$E:$E,Movements!$F:$F,$A96))</f>
        <v/>
      </c>
      <c r="D96" s="7" t="str">
        <f aca="false">IF($A96="","",Products!H96)</f>
        <v/>
      </c>
      <c r="E96" s="7" t="str">
        <f aca="false">IF($A96="","",IF($C96&lt;$D96,"REORDER","OK"))</f>
        <v/>
      </c>
    </row>
    <row r="97" customFormat="false" ht="15" hidden="false" customHeight="false" outlineLevel="0" collapsed="false">
      <c r="A97" s="7" t="n">
        <f aca="false">Products!A97</f>
        <v>0</v>
      </c>
      <c r="B97" s="7" t="str">
        <f aca="false">IF($A97="","",Products!B97)</f>
        <v/>
      </c>
      <c r="C97" s="7" t="str">
        <f aca="false">IF($A97="","",SUMIFS(Movements!$E:$E,Movements!$F:$F,$A97))</f>
        <v/>
      </c>
      <c r="D97" s="7" t="str">
        <f aca="false">IF($A97="","",Products!H97)</f>
        <v/>
      </c>
      <c r="E97" s="7" t="str">
        <f aca="false">IF($A97="","",IF($C97&lt;$D97,"REORDER","OK"))</f>
        <v/>
      </c>
    </row>
    <row r="98" customFormat="false" ht="15" hidden="false" customHeight="false" outlineLevel="0" collapsed="false">
      <c r="A98" s="7" t="n">
        <f aca="false">Products!A98</f>
        <v>0</v>
      </c>
      <c r="B98" s="7" t="str">
        <f aca="false">IF($A98="","",Products!B98)</f>
        <v/>
      </c>
      <c r="C98" s="7" t="str">
        <f aca="false">IF($A98="","",SUMIFS(Movements!$E:$E,Movements!$F:$F,$A98))</f>
        <v/>
      </c>
      <c r="D98" s="7" t="str">
        <f aca="false">IF($A98="","",Products!H98)</f>
        <v/>
      </c>
      <c r="E98" s="7" t="str">
        <f aca="false">IF($A98="","",IF($C98&lt;$D98,"REORDER","OK"))</f>
        <v/>
      </c>
    </row>
    <row r="99" customFormat="false" ht="15" hidden="false" customHeight="false" outlineLevel="0" collapsed="false">
      <c r="A99" s="7" t="n">
        <f aca="false">Products!A99</f>
        <v>0</v>
      </c>
      <c r="B99" s="7" t="str">
        <f aca="false">IF($A99="","",Products!B99)</f>
        <v/>
      </c>
      <c r="C99" s="7" t="str">
        <f aca="false">IF($A99="","",SUMIFS(Movements!$E:$E,Movements!$F:$F,$A99))</f>
        <v/>
      </c>
      <c r="D99" s="7" t="str">
        <f aca="false">IF($A99="","",Products!H99)</f>
        <v/>
      </c>
      <c r="E99" s="7" t="str">
        <f aca="false">IF($A99="","",IF($C99&lt;$D99,"REORDER","OK"))</f>
        <v/>
      </c>
    </row>
    <row r="100" customFormat="false" ht="15" hidden="false" customHeight="false" outlineLevel="0" collapsed="false">
      <c r="A100" s="7" t="n">
        <f aca="false">Products!A100</f>
        <v>0</v>
      </c>
      <c r="B100" s="7" t="str">
        <f aca="false">IF($A100="","",Products!B100)</f>
        <v/>
      </c>
      <c r="C100" s="7" t="str">
        <f aca="false">IF($A100="","",SUMIFS(Movements!$E:$E,Movements!$F:$F,$A100))</f>
        <v/>
      </c>
      <c r="D100" s="7" t="str">
        <f aca="false">IF($A100="","",Products!H100)</f>
        <v/>
      </c>
      <c r="E100" s="7" t="str">
        <f aca="false">IF($A100="","",IF($C100&lt;$D100,"REORDER","OK"))</f>
        <v/>
      </c>
    </row>
    <row r="101" customFormat="false" ht="15" hidden="false" customHeight="false" outlineLevel="0" collapsed="false">
      <c r="A101" s="7" t="n">
        <f aca="false">Products!A101</f>
        <v>0</v>
      </c>
      <c r="B101" s="7" t="str">
        <f aca="false">IF($A101="","",Products!B101)</f>
        <v/>
      </c>
      <c r="C101" s="7" t="str">
        <f aca="false">IF($A101="","",SUMIFS(Movements!$E:$E,Movements!$F:$F,$A101))</f>
        <v/>
      </c>
      <c r="D101" s="7" t="str">
        <f aca="false">IF($A101="","",Products!H101)</f>
        <v/>
      </c>
      <c r="E101" s="7" t="str">
        <f aca="false">IF($A101="","",IF($C101&lt;$D101,"REORDER","OK"))</f>
        <v/>
      </c>
    </row>
    <row r="102" customFormat="false" ht="15" hidden="false" customHeight="false" outlineLevel="0" collapsed="false">
      <c r="A102" s="7" t="n">
        <f aca="false">Products!A102</f>
        <v>0</v>
      </c>
      <c r="B102" s="7" t="str">
        <f aca="false">IF($A102="","",Products!B102)</f>
        <v/>
      </c>
      <c r="C102" s="7" t="str">
        <f aca="false">IF($A102="","",SUMIFS(Movements!$E:$E,Movements!$F:$F,$A102))</f>
        <v/>
      </c>
      <c r="D102" s="7" t="str">
        <f aca="false">IF($A102="","",Products!H102)</f>
        <v/>
      </c>
      <c r="E102" s="7" t="str">
        <f aca="false">IF($A102="","",IF($C102&lt;$D102,"REORDER","OK"))</f>
        <v/>
      </c>
    </row>
    <row r="103" customFormat="false" ht="15" hidden="false" customHeight="false" outlineLevel="0" collapsed="false">
      <c r="A103" s="7" t="n">
        <f aca="false">Products!A103</f>
        <v>0</v>
      </c>
      <c r="B103" s="7" t="str">
        <f aca="false">IF($A103="","",Products!B103)</f>
        <v/>
      </c>
      <c r="C103" s="7" t="str">
        <f aca="false">IF($A103="","",SUMIFS(Movements!$E:$E,Movements!$F:$F,$A103))</f>
        <v/>
      </c>
      <c r="D103" s="7" t="str">
        <f aca="false">IF($A103="","",Products!H103)</f>
        <v/>
      </c>
      <c r="E103" s="7" t="str">
        <f aca="false">IF($A103="","",IF($C103&lt;$D103,"REORDER","OK"))</f>
        <v/>
      </c>
    </row>
    <row r="104" customFormat="false" ht="15" hidden="false" customHeight="false" outlineLevel="0" collapsed="false">
      <c r="A104" s="7" t="n">
        <f aca="false">Products!A104</f>
        <v>0</v>
      </c>
      <c r="B104" s="7" t="str">
        <f aca="false">IF($A104="","",Products!B104)</f>
        <v/>
      </c>
      <c r="C104" s="7" t="str">
        <f aca="false">IF($A104="","",SUMIFS(Movements!$E:$E,Movements!$F:$F,$A104))</f>
        <v/>
      </c>
      <c r="D104" s="7" t="str">
        <f aca="false">IF($A104="","",Products!H104)</f>
        <v/>
      </c>
      <c r="E104" s="7" t="str">
        <f aca="false">IF($A104="","",IF($C104&lt;$D104,"REORDER","OK"))</f>
        <v/>
      </c>
    </row>
    <row r="105" customFormat="false" ht="15" hidden="false" customHeight="false" outlineLevel="0" collapsed="false">
      <c r="A105" s="7" t="n">
        <f aca="false">Products!A105</f>
        <v>0</v>
      </c>
      <c r="B105" s="7" t="str">
        <f aca="false">IF($A105="","",Products!B105)</f>
        <v/>
      </c>
      <c r="C105" s="7" t="str">
        <f aca="false">IF($A105="","",SUMIFS(Movements!$E:$E,Movements!$F:$F,$A105))</f>
        <v/>
      </c>
      <c r="D105" s="7" t="str">
        <f aca="false">IF($A105="","",Products!H105)</f>
        <v/>
      </c>
      <c r="E105" s="7" t="str">
        <f aca="false">IF($A105="","",IF($C105&lt;$D105,"REORDER","OK"))</f>
        <v/>
      </c>
    </row>
    <row r="106" customFormat="false" ht="15" hidden="false" customHeight="false" outlineLevel="0" collapsed="false">
      <c r="A106" s="7" t="n">
        <f aca="false">Products!A106</f>
        <v>0</v>
      </c>
      <c r="B106" s="7" t="str">
        <f aca="false">IF($A106="","",Products!B106)</f>
        <v/>
      </c>
      <c r="C106" s="7" t="str">
        <f aca="false">IF($A106="","",SUMIFS(Movements!$E:$E,Movements!$F:$F,$A106))</f>
        <v/>
      </c>
      <c r="D106" s="7" t="str">
        <f aca="false">IF($A106="","",Products!H106)</f>
        <v/>
      </c>
      <c r="E106" s="7" t="str">
        <f aca="false">IF($A106="","",IF($C106&lt;$D106,"REORDER","OK"))</f>
        <v/>
      </c>
    </row>
    <row r="107" customFormat="false" ht="15" hidden="false" customHeight="false" outlineLevel="0" collapsed="false">
      <c r="A107" s="7" t="n">
        <f aca="false">Products!A107</f>
        <v>0</v>
      </c>
      <c r="B107" s="7" t="str">
        <f aca="false">IF($A107="","",Products!B107)</f>
        <v/>
      </c>
      <c r="C107" s="7" t="str">
        <f aca="false">IF($A107="","",SUMIFS(Movements!$E:$E,Movements!$F:$F,$A107))</f>
        <v/>
      </c>
      <c r="D107" s="7" t="str">
        <f aca="false">IF($A107="","",Products!H107)</f>
        <v/>
      </c>
      <c r="E107" s="7" t="str">
        <f aca="false">IF($A107="","",IF($C107&lt;$D107,"REORDER","OK"))</f>
        <v/>
      </c>
    </row>
    <row r="108" customFormat="false" ht="15" hidden="false" customHeight="false" outlineLevel="0" collapsed="false">
      <c r="A108" s="7" t="n">
        <f aca="false">Products!A108</f>
        <v>0</v>
      </c>
      <c r="B108" s="7" t="str">
        <f aca="false">IF($A108="","",Products!B108)</f>
        <v/>
      </c>
      <c r="C108" s="7" t="str">
        <f aca="false">IF($A108="","",SUMIFS(Movements!$E:$E,Movements!$F:$F,$A108))</f>
        <v/>
      </c>
      <c r="D108" s="7" t="str">
        <f aca="false">IF($A108="","",Products!H108)</f>
        <v/>
      </c>
      <c r="E108" s="7" t="str">
        <f aca="false">IF($A108="","",IF($C108&lt;$D108,"REORDER","OK"))</f>
        <v/>
      </c>
    </row>
    <row r="109" customFormat="false" ht="15" hidden="false" customHeight="false" outlineLevel="0" collapsed="false">
      <c r="A109" s="7" t="n">
        <f aca="false">Products!A109</f>
        <v>0</v>
      </c>
      <c r="B109" s="7" t="str">
        <f aca="false">IF($A109="","",Products!B109)</f>
        <v/>
      </c>
      <c r="C109" s="7" t="str">
        <f aca="false">IF($A109="","",SUMIFS(Movements!$E:$E,Movements!$F:$F,$A109))</f>
        <v/>
      </c>
      <c r="D109" s="7" t="str">
        <f aca="false">IF($A109="","",Products!H109)</f>
        <v/>
      </c>
      <c r="E109" s="7" t="str">
        <f aca="false">IF($A109="","",IF($C109&lt;$D109,"REORDER","OK"))</f>
        <v/>
      </c>
    </row>
    <row r="110" customFormat="false" ht="15" hidden="false" customHeight="false" outlineLevel="0" collapsed="false">
      <c r="A110" s="7" t="n">
        <f aca="false">Products!A110</f>
        <v>0</v>
      </c>
      <c r="B110" s="7" t="str">
        <f aca="false">IF($A110="","",Products!B110)</f>
        <v/>
      </c>
      <c r="C110" s="7" t="str">
        <f aca="false">IF($A110="","",SUMIFS(Movements!$E:$E,Movements!$F:$F,$A110))</f>
        <v/>
      </c>
      <c r="D110" s="7" t="str">
        <f aca="false">IF($A110="","",Products!H110)</f>
        <v/>
      </c>
      <c r="E110" s="7" t="str">
        <f aca="false">IF($A110="","",IF($C110&lt;$D110,"REORDER","OK"))</f>
        <v/>
      </c>
    </row>
    <row r="111" customFormat="false" ht="15" hidden="false" customHeight="false" outlineLevel="0" collapsed="false">
      <c r="A111" s="7" t="n">
        <f aca="false">Products!A111</f>
        <v>0</v>
      </c>
      <c r="B111" s="7" t="str">
        <f aca="false">IF($A111="","",Products!B111)</f>
        <v/>
      </c>
      <c r="C111" s="7" t="str">
        <f aca="false">IF($A111="","",SUMIFS(Movements!$E:$E,Movements!$F:$F,$A111))</f>
        <v/>
      </c>
      <c r="D111" s="7" t="str">
        <f aca="false">IF($A111="","",Products!H111)</f>
        <v/>
      </c>
      <c r="E111" s="7" t="str">
        <f aca="false">IF($A111="","",IF($C111&lt;$D111,"REORDER","OK"))</f>
        <v/>
      </c>
    </row>
    <row r="112" customFormat="false" ht="15" hidden="false" customHeight="false" outlineLevel="0" collapsed="false">
      <c r="A112" s="7" t="n">
        <f aca="false">Products!A112</f>
        <v>0</v>
      </c>
      <c r="B112" s="7" t="str">
        <f aca="false">IF($A112="","",Products!B112)</f>
        <v/>
      </c>
      <c r="C112" s="7" t="str">
        <f aca="false">IF($A112="","",SUMIFS(Movements!$E:$E,Movements!$F:$F,$A112))</f>
        <v/>
      </c>
      <c r="D112" s="7" t="str">
        <f aca="false">IF($A112="","",Products!H112)</f>
        <v/>
      </c>
      <c r="E112" s="7" t="str">
        <f aca="false">IF($A112="","",IF($C112&lt;$D112,"REORDER","OK"))</f>
        <v/>
      </c>
    </row>
    <row r="113" customFormat="false" ht="15" hidden="false" customHeight="false" outlineLevel="0" collapsed="false">
      <c r="A113" s="7" t="n">
        <f aca="false">Products!A113</f>
        <v>0</v>
      </c>
      <c r="B113" s="7" t="str">
        <f aca="false">IF($A113="","",Products!B113)</f>
        <v/>
      </c>
      <c r="C113" s="7" t="str">
        <f aca="false">IF($A113="","",SUMIFS(Movements!$E:$E,Movements!$F:$F,$A113))</f>
        <v/>
      </c>
      <c r="D113" s="7" t="str">
        <f aca="false">IF($A113="","",Products!H113)</f>
        <v/>
      </c>
      <c r="E113" s="7" t="str">
        <f aca="false">IF($A113="","",IF($C113&lt;$D113,"REORDER","OK"))</f>
        <v/>
      </c>
    </row>
    <row r="114" customFormat="false" ht="15" hidden="false" customHeight="false" outlineLevel="0" collapsed="false">
      <c r="A114" s="7" t="n">
        <f aca="false">Products!A114</f>
        <v>0</v>
      </c>
      <c r="B114" s="7" t="str">
        <f aca="false">IF($A114="","",Products!B114)</f>
        <v/>
      </c>
      <c r="C114" s="7" t="str">
        <f aca="false">IF($A114="","",SUMIFS(Movements!$E:$E,Movements!$F:$F,$A114))</f>
        <v/>
      </c>
      <c r="D114" s="7" t="str">
        <f aca="false">IF($A114="","",Products!H114)</f>
        <v/>
      </c>
      <c r="E114" s="7" t="str">
        <f aca="false">IF($A114="","",IF($C114&lt;$D114,"REORDER","OK"))</f>
        <v/>
      </c>
    </row>
    <row r="115" customFormat="false" ht="15" hidden="false" customHeight="false" outlineLevel="0" collapsed="false">
      <c r="A115" s="7" t="n">
        <f aca="false">Products!A115</f>
        <v>0</v>
      </c>
      <c r="B115" s="7" t="str">
        <f aca="false">IF($A115="","",Products!B115)</f>
        <v/>
      </c>
      <c r="C115" s="7" t="str">
        <f aca="false">IF($A115="","",SUMIFS(Movements!$E:$E,Movements!$F:$F,$A115))</f>
        <v/>
      </c>
      <c r="D115" s="7" t="str">
        <f aca="false">IF($A115="","",Products!H115)</f>
        <v/>
      </c>
      <c r="E115" s="7" t="str">
        <f aca="false">IF($A115="","",IF($C115&lt;$D115,"REORDER","OK"))</f>
        <v/>
      </c>
    </row>
    <row r="116" customFormat="false" ht="15" hidden="false" customHeight="false" outlineLevel="0" collapsed="false">
      <c r="A116" s="7" t="n">
        <f aca="false">Products!A116</f>
        <v>0</v>
      </c>
      <c r="B116" s="7" t="str">
        <f aca="false">IF($A116="","",Products!B116)</f>
        <v/>
      </c>
      <c r="C116" s="7" t="str">
        <f aca="false">IF($A116="","",SUMIFS(Movements!$E:$E,Movements!$F:$F,$A116))</f>
        <v/>
      </c>
      <c r="D116" s="7" t="str">
        <f aca="false">IF($A116="","",Products!H116)</f>
        <v/>
      </c>
      <c r="E116" s="7" t="str">
        <f aca="false">IF($A116="","",IF($C116&lt;$D116,"REORDER","OK"))</f>
        <v/>
      </c>
    </row>
    <row r="117" customFormat="false" ht="15" hidden="false" customHeight="false" outlineLevel="0" collapsed="false">
      <c r="A117" s="7" t="n">
        <f aca="false">Products!A117</f>
        <v>0</v>
      </c>
      <c r="B117" s="7" t="str">
        <f aca="false">IF($A117="","",Products!B117)</f>
        <v/>
      </c>
      <c r="C117" s="7" t="str">
        <f aca="false">IF($A117="","",SUMIFS(Movements!$E:$E,Movements!$F:$F,$A117))</f>
        <v/>
      </c>
      <c r="D117" s="7" t="str">
        <f aca="false">IF($A117="","",Products!H117)</f>
        <v/>
      </c>
      <c r="E117" s="7" t="str">
        <f aca="false">IF($A117="","",IF($C117&lt;$D117,"REORDER","OK"))</f>
        <v/>
      </c>
    </row>
    <row r="118" customFormat="false" ht="15" hidden="false" customHeight="false" outlineLevel="0" collapsed="false">
      <c r="A118" s="7" t="n">
        <f aca="false">Products!A118</f>
        <v>0</v>
      </c>
      <c r="B118" s="7" t="str">
        <f aca="false">IF($A118="","",Products!B118)</f>
        <v/>
      </c>
      <c r="C118" s="7" t="str">
        <f aca="false">IF($A118="","",SUMIFS(Movements!$E:$E,Movements!$F:$F,$A118))</f>
        <v/>
      </c>
      <c r="D118" s="7" t="str">
        <f aca="false">IF($A118="","",Products!H118)</f>
        <v/>
      </c>
      <c r="E118" s="7" t="str">
        <f aca="false">IF($A118="","",IF($C118&lt;$D118,"REORDER","OK"))</f>
        <v/>
      </c>
    </row>
    <row r="119" customFormat="false" ht="15" hidden="false" customHeight="false" outlineLevel="0" collapsed="false">
      <c r="A119" s="7" t="n">
        <f aca="false">Products!A119</f>
        <v>0</v>
      </c>
      <c r="B119" s="7" t="str">
        <f aca="false">IF($A119="","",Products!B119)</f>
        <v/>
      </c>
      <c r="C119" s="7" t="str">
        <f aca="false">IF($A119="","",SUMIFS(Movements!$E:$E,Movements!$F:$F,$A119))</f>
        <v/>
      </c>
      <c r="D119" s="7" t="str">
        <f aca="false">IF($A119="","",Products!H119)</f>
        <v/>
      </c>
      <c r="E119" s="7" t="str">
        <f aca="false">IF($A119="","",IF($C119&lt;$D119,"REORDER","OK"))</f>
        <v/>
      </c>
    </row>
    <row r="120" customFormat="false" ht="15" hidden="false" customHeight="false" outlineLevel="0" collapsed="false">
      <c r="A120" s="7" t="n">
        <f aca="false">Products!A120</f>
        <v>0</v>
      </c>
      <c r="B120" s="7" t="str">
        <f aca="false">IF($A120="","",Products!B120)</f>
        <v/>
      </c>
      <c r="C120" s="7" t="str">
        <f aca="false">IF($A120="","",SUMIFS(Movements!$E:$E,Movements!$F:$F,$A120))</f>
        <v/>
      </c>
      <c r="D120" s="7" t="str">
        <f aca="false">IF($A120="","",Products!H120)</f>
        <v/>
      </c>
      <c r="E120" s="7" t="str">
        <f aca="false">IF($A120="","",IF($C120&lt;$D120,"REORDER","OK"))</f>
        <v/>
      </c>
    </row>
    <row r="121" customFormat="false" ht="15" hidden="false" customHeight="false" outlineLevel="0" collapsed="false">
      <c r="A121" s="7" t="n">
        <f aca="false">Products!A121</f>
        <v>0</v>
      </c>
      <c r="B121" s="7" t="str">
        <f aca="false">IF($A121="","",Products!B121)</f>
        <v/>
      </c>
      <c r="C121" s="7" t="str">
        <f aca="false">IF($A121="","",SUMIFS(Movements!$E:$E,Movements!$F:$F,$A121))</f>
        <v/>
      </c>
      <c r="D121" s="7" t="str">
        <f aca="false">IF($A121="","",Products!H121)</f>
        <v/>
      </c>
      <c r="E121" s="7" t="str">
        <f aca="false">IF($A121="","",IF($C121&lt;$D121,"REORDER","OK"))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2026-09-06T23:15:42Z</dcterms:created>
  <dc:creator>openpyxl</dc:creator>
  <dc:description/>
  <dc:language>en-US</dc:language>
  <cp:lastModifiedBy/>
  <dcterms:modified xsi:type="dcterms:W3CDTF">2026-09-06T23:15:42Z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